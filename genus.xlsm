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1882CDAA-4A85-4835-A838-80C2A07093B3}" xr6:coauthVersionLast="47" xr6:coauthVersionMax="47" xr10:uidLastSave="{00000000-0000-0000-0000-000000000000}"/>
  <bookViews>
    <workbookView xWindow="8505" yWindow="165" windowWidth="21615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" i="3" l="1"/>
  <c r="J63" i="3"/>
  <c r="J62" i="3"/>
  <c r="J57" i="3"/>
  <c r="J58" i="3" s="1"/>
  <c r="J47" i="3"/>
  <c r="J52" i="3" s="1"/>
  <c r="J56" i="3" s="1"/>
  <c r="J46" i="3"/>
  <c r="U65" i="3"/>
  <c r="U63" i="3"/>
  <c r="U62" i="3"/>
  <c r="U57" i="3"/>
  <c r="U58" i="3" s="1"/>
  <c r="U52" i="3"/>
  <c r="U56" i="3" s="1"/>
  <c r="U47" i="3"/>
  <c r="U50" i="3" s="1"/>
  <c r="U51" i="3" s="1"/>
  <c r="U46" i="3"/>
  <c r="U9" i="3"/>
  <c r="U8" i="3"/>
  <c r="D53" i="4"/>
  <c r="D52" i="4"/>
  <c r="D51" i="4"/>
  <c r="D50" i="4"/>
  <c r="D49" i="4"/>
  <c r="D48" i="4"/>
  <c r="D47" i="4"/>
  <c r="D46" i="4"/>
  <c r="D45" i="4"/>
  <c r="V65" i="3"/>
  <c r="T65" i="3"/>
  <c r="S65" i="3"/>
  <c r="R65" i="3"/>
  <c r="Q65" i="3"/>
  <c r="P65" i="3"/>
  <c r="O65" i="3"/>
  <c r="N65" i="3"/>
  <c r="M65" i="3"/>
  <c r="L65" i="3"/>
  <c r="K65" i="3"/>
  <c r="I65" i="3"/>
  <c r="H65" i="3"/>
  <c r="G65" i="3"/>
  <c r="F65" i="3"/>
  <c r="E65" i="3"/>
  <c r="D65" i="3"/>
  <c r="C65" i="3"/>
  <c r="B65" i="3"/>
  <c r="W65" i="3"/>
  <c r="W63" i="3"/>
  <c r="W62" i="3"/>
  <c r="W57" i="3"/>
  <c r="W58" i="3" s="1"/>
  <c r="W52" i="3"/>
  <c r="W56" i="3" s="1"/>
  <c r="W47" i="3"/>
  <c r="W50" i="3" s="1"/>
  <c r="W51" i="3" s="1"/>
  <c r="W46" i="3"/>
  <c r="W9" i="3"/>
  <c r="W8" i="3"/>
  <c r="S63" i="3"/>
  <c r="S62" i="3"/>
  <c r="S57" i="3"/>
  <c r="S58" i="3" s="1"/>
  <c r="S52" i="3"/>
  <c r="S56" i="3" s="1"/>
  <c r="S47" i="3"/>
  <c r="S50" i="3" s="1"/>
  <c r="S51" i="3" s="1"/>
  <c r="S53" i="3" s="1"/>
  <c r="S55" i="3" s="1"/>
  <c r="S46" i="3"/>
  <c r="S9" i="3"/>
  <c r="S8" i="3"/>
  <c r="C63" i="3"/>
  <c r="C62" i="3"/>
  <c r="C57" i="3"/>
  <c r="C58" i="3" s="1"/>
  <c r="C47" i="3"/>
  <c r="C52" i="3" s="1"/>
  <c r="C56" i="3" s="1"/>
  <c r="C46" i="3"/>
  <c r="C9" i="3"/>
  <c r="C8" i="3"/>
  <c r="P9" i="3"/>
  <c r="V57" i="3"/>
  <c r="Q57" i="3"/>
  <c r="Q58" i="3" s="1"/>
  <c r="P57" i="3"/>
  <c r="P58" i="3" s="1"/>
  <c r="O57" i="3"/>
  <c r="R57" i="3"/>
  <c r="R58" i="3" s="1"/>
  <c r="N57" i="3"/>
  <c r="N58" i="3" s="1"/>
  <c r="M57" i="3"/>
  <c r="L57" i="3"/>
  <c r="L58" i="3" s="1"/>
  <c r="K57" i="3"/>
  <c r="K58" i="3" s="1"/>
  <c r="I57" i="3"/>
  <c r="I58" i="3" s="1"/>
  <c r="H57" i="3"/>
  <c r="H58" i="3" s="1"/>
  <c r="G57" i="3"/>
  <c r="F57" i="3"/>
  <c r="F58" i="3" s="1"/>
  <c r="E57" i="3"/>
  <c r="E58" i="3" s="1"/>
  <c r="D57" i="3"/>
  <c r="D58" i="3" s="1"/>
  <c r="B57" i="3"/>
  <c r="B58" i="3" s="1"/>
  <c r="T57" i="3"/>
  <c r="T58" i="3" s="1"/>
  <c r="V52" i="3"/>
  <c r="V56" i="3" s="1"/>
  <c r="T52" i="3"/>
  <c r="T56" i="3" s="1"/>
  <c r="Q52" i="3"/>
  <c r="Q56" i="3" s="1"/>
  <c r="P52" i="3"/>
  <c r="P56" i="3" s="1"/>
  <c r="O52" i="3"/>
  <c r="O56" i="3" s="1"/>
  <c r="R52" i="3"/>
  <c r="R56" i="3" s="1"/>
  <c r="V63" i="3"/>
  <c r="V62" i="3"/>
  <c r="V47" i="3"/>
  <c r="V50" i="3" s="1"/>
  <c r="V51" i="3" s="1"/>
  <c r="V46" i="3"/>
  <c r="V9" i="3"/>
  <c r="V8" i="3"/>
  <c r="T63" i="3"/>
  <c r="Q63" i="3"/>
  <c r="P63" i="3"/>
  <c r="O63" i="3"/>
  <c r="R63" i="3"/>
  <c r="N63" i="3"/>
  <c r="M63" i="3"/>
  <c r="L63" i="3"/>
  <c r="K63" i="3"/>
  <c r="I63" i="3"/>
  <c r="H63" i="3"/>
  <c r="G63" i="3"/>
  <c r="F63" i="3"/>
  <c r="E63" i="3"/>
  <c r="D63" i="3"/>
  <c r="B63" i="3"/>
  <c r="T62" i="3"/>
  <c r="Q62" i="3"/>
  <c r="P62" i="3"/>
  <c r="O62" i="3"/>
  <c r="R62" i="3"/>
  <c r="N62" i="3"/>
  <c r="M62" i="3"/>
  <c r="L62" i="3"/>
  <c r="K62" i="3"/>
  <c r="I62" i="3"/>
  <c r="H62" i="3"/>
  <c r="G62" i="3"/>
  <c r="F62" i="3"/>
  <c r="E62" i="3"/>
  <c r="D62" i="3"/>
  <c r="B62" i="3"/>
  <c r="L47" i="3"/>
  <c r="L52" i="3" s="1"/>
  <c r="L56" i="3" s="1"/>
  <c r="L46" i="3"/>
  <c r="L8" i="3"/>
  <c r="L9" i="3"/>
  <c r="K47" i="3"/>
  <c r="K50" i="3" s="1"/>
  <c r="K51" i="3" s="1"/>
  <c r="K46" i="3"/>
  <c r="K8" i="3"/>
  <c r="K9" i="3"/>
  <c r="J8" i="3"/>
  <c r="J9" i="3"/>
  <c r="N47" i="3"/>
  <c r="N52" i="3" s="1"/>
  <c r="M47" i="3"/>
  <c r="M52" i="3" s="1"/>
  <c r="M56" i="3" s="1"/>
  <c r="H47" i="3"/>
  <c r="H50" i="3" s="1"/>
  <c r="H51" i="3" s="1"/>
  <c r="I47" i="3"/>
  <c r="I50" i="3" s="1"/>
  <c r="I51" i="3" s="1"/>
  <c r="G47" i="3"/>
  <c r="G50" i="3" s="1"/>
  <c r="G51" i="3" s="1"/>
  <c r="F47" i="3"/>
  <c r="F52" i="3" s="1"/>
  <c r="F56" i="3" s="1"/>
  <c r="E47" i="3"/>
  <c r="E52" i="3" s="1"/>
  <c r="E56" i="3" s="1"/>
  <c r="B47" i="3"/>
  <c r="B52" i="3" s="1"/>
  <c r="B56" i="3" s="1"/>
  <c r="D47" i="3"/>
  <c r="D50" i="3" s="1"/>
  <c r="D51" i="3" s="1"/>
  <c r="T46" i="3"/>
  <c r="Q46" i="3"/>
  <c r="P46" i="3"/>
  <c r="O46" i="3"/>
  <c r="R46" i="3"/>
  <c r="N46" i="3"/>
  <c r="M46" i="3"/>
  <c r="H46" i="3"/>
  <c r="I46" i="3"/>
  <c r="G46" i="3"/>
  <c r="F46" i="3"/>
  <c r="E46" i="3"/>
  <c r="D46" i="3"/>
  <c r="B46" i="3"/>
  <c r="T47" i="3"/>
  <c r="T50" i="3" s="1"/>
  <c r="T51" i="3" s="1"/>
  <c r="Q47" i="3"/>
  <c r="Q50" i="3" s="1"/>
  <c r="Q51" i="3" s="1"/>
  <c r="P47" i="3"/>
  <c r="P50" i="3" s="1"/>
  <c r="P51" i="3" s="1"/>
  <c r="O47" i="3"/>
  <c r="O50" i="3" s="1"/>
  <c r="O51" i="3" s="1"/>
  <c r="R47" i="3"/>
  <c r="R50" i="3" s="1"/>
  <c r="R51" i="3" s="1"/>
  <c r="Q8" i="3"/>
  <c r="Q9" i="3"/>
  <c r="B1" i="3"/>
  <c r="P8" i="3"/>
  <c r="H8" i="3"/>
  <c r="H9" i="3"/>
  <c r="E18" i="5"/>
  <c r="E17" i="5"/>
  <c r="E16" i="5"/>
  <c r="E15" i="5"/>
  <c r="E14" i="5"/>
  <c r="E13" i="5"/>
  <c r="E12" i="5"/>
  <c r="E11" i="5"/>
  <c r="E8" i="3"/>
  <c r="E9" i="3"/>
  <c r="M8" i="3"/>
  <c r="M9" i="3"/>
  <c r="G8" i="3"/>
  <c r="G9" i="3"/>
  <c r="T8" i="3"/>
  <c r="T9" i="3"/>
  <c r="O8" i="3"/>
  <c r="O9" i="3"/>
  <c r="D8" i="3"/>
  <c r="R8" i="3"/>
  <c r="N8" i="3"/>
  <c r="I8" i="3"/>
  <c r="F8" i="3"/>
  <c r="B8" i="3"/>
  <c r="R9" i="3"/>
  <c r="N9" i="3"/>
  <c r="I9" i="3"/>
  <c r="F9" i="3"/>
  <c r="D9" i="3"/>
  <c r="B9" i="3"/>
  <c r="J50" i="3" l="1"/>
  <c r="J51" i="3" s="1"/>
  <c r="J53" i="3" s="1"/>
  <c r="J55" i="3" s="1"/>
  <c r="U53" i="3"/>
  <c r="U55" i="3" s="1"/>
  <c r="W53" i="3"/>
  <c r="W55" i="3" s="1"/>
  <c r="S59" i="3"/>
  <c r="C50" i="3"/>
  <c r="C51" i="3" s="1"/>
  <c r="C53" i="3" s="1"/>
  <c r="C55" i="3" s="1"/>
  <c r="H52" i="3"/>
  <c r="H56" i="3" s="1"/>
  <c r="I52" i="3"/>
  <c r="I56" i="3" s="1"/>
  <c r="D52" i="3"/>
  <c r="D56" i="3" s="1"/>
  <c r="K52" i="3"/>
  <c r="K56" i="3" s="1"/>
  <c r="G52" i="3"/>
  <c r="G56" i="3" s="1"/>
  <c r="N56" i="3"/>
  <c r="O58" i="3"/>
  <c r="G58" i="3"/>
  <c r="M58" i="3"/>
  <c r="V58" i="3"/>
  <c r="O53" i="3"/>
  <c r="O55" i="3" s="1"/>
  <c r="Q53" i="3"/>
  <c r="Q55" i="3" s="1"/>
  <c r="P53" i="3"/>
  <c r="P55" i="3" s="1"/>
  <c r="V53" i="3"/>
  <c r="V55" i="3" s="1"/>
  <c r="R53" i="3"/>
  <c r="R55" i="3" s="1"/>
  <c r="T53" i="3"/>
  <c r="T55" i="3" s="1"/>
  <c r="L50" i="3"/>
  <c r="L51" i="3" s="1"/>
  <c r="F50" i="3"/>
  <c r="F51" i="3" s="1"/>
  <c r="M50" i="3"/>
  <c r="M51" i="3" s="1"/>
  <c r="B50" i="3"/>
  <c r="B51" i="3" s="1"/>
  <c r="B53" i="3" s="1"/>
  <c r="E50" i="3"/>
  <c r="E51" i="3" s="1"/>
  <c r="E53" i="3" s="1"/>
  <c r="E55" i="3" s="1"/>
  <c r="N50" i="3"/>
  <c r="N51" i="3" s="1"/>
  <c r="J59" i="3" l="1"/>
  <c r="U59" i="3"/>
  <c r="W59" i="3"/>
  <c r="D53" i="3"/>
  <c r="D55" i="3" s="1"/>
  <c r="C59" i="3"/>
  <c r="K53" i="3"/>
  <c r="K55" i="3" s="1"/>
  <c r="P59" i="3"/>
  <c r="L53" i="3"/>
  <c r="L59" i="3" s="1"/>
  <c r="M53" i="3"/>
  <c r="M59" i="3" s="1"/>
  <c r="F53" i="3"/>
  <c r="F59" i="3" s="1"/>
  <c r="Q59" i="3"/>
  <c r="G53" i="3"/>
  <c r="G55" i="3" s="1"/>
  <c r="H53" i="3"/>
  <c r="H55" i="3" s="1"/>
  <c r="N53" i="3"/>
  <c r="N59" i="3" s="1"/>
  <c r="I53" i="3"/>
  <c r="I55" i="3" s="1"/>
  <c r="T59" i="3"/>
  <c r="B55" i="3"/>
  <c r="B59" i="3"/>
  <c r="E59" i="3"/>
  <c r="V59" i="3"/>
  <c r="R59" i="3"/>
  <c r="O59" i="3"/>
  <c r="D59" i="3"/>
  <c r="G59" i="3" l="1"/>
  <c r="K59" i="3"/>
  <c r="H59" i="3"/>
  <c r="F55" i="3"/>
  <c r="M55" i="3"/>
  <c r="N55" i="3"/>
  <c r="I59" i="3"/>
  <c r="L5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3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8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<sst xmlns="http://schemas.openxmlformats.org/spreadsheetml/2006/main" count="213" uniqueCount="140">
  <si>
    <t>GEN_START</t>
  </si>
  <si>
    <t>GEN_END</t>
  </si>
  <si>
    <t>// parent specie for initial species</t>
  </si>
  <si>
    <t>SPECIE</t>
  </si>
  <si>
    <t>Columna1</t>
  </si>
  <si>
    <t>SECONDARY</t>
  </si>
  <si>
    <t>TROPHIC_LEVEL</t>
  </si>
  <si>
    <t>PRODUCER</t>
  </si>
  <si>
    <t>PRIMARY</t>
  </si>
  <si>
    <t>NOPARENT</t>
  </si>
  <si>
    <t>PARENT_SPECIE_CODE</t>
  </si>
  <si>
    <t>AGE_DEAD</t>
  </si>
  <si>
    <t>REPRODUCTION_INTERVAL</t>
  </si>
  <si>
    <t>ALLOCATION_REPRODUCTIVE</t>
  </si>
  <si>
    <t>SPECIE_CODE</t>
  </si>
  <si>
    <t>BIOMASS_ADULT</t>
  </si>
  <si>
    <t>TEMPERATURE_OPTIMAL</t>
  </si>
  <si>
    <t>ANABOLISM_BIOMASS_PER_WATER_L</t>
  </si>
  <si>
    <t>PLANT_HEAD_DENSITY</t>
  </si>
  <si>
    <t>PLANT_HEAD_FORM_FACTOR</t>
  </si>
  <si>
    <t>T.Level</t>
  </si>
  <si>
    <t>LMFa</t>
  </si>
  <si>
    <t>TEMPERATURE_RANGE</t>
  </si>
  <si>
    <t>REPRODUCTION_QUANTITY</t>
  </si>
  <si>
    <t>Comments</t>
  </si>
  <si>
    <t>High temp, high reserve</t>
  </si>
  <si>
    <t>Low temp, high reserve</t>
  </si>
  <si>
    <t>Trunk</t>
  </si>
  <si>
    <t>KC_METABOLIC_RATE</t>
  </si>
  <si>
    <t>DORMANCY_CATABOLISM_REDUCTION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</si>
  <si>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</si>
  <si>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</si>
  <si>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</si>
  <si>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</si>
  <si>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</si>
  <si>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</si>
  <si>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</si>
  <si>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</si>
  <si>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</si>
  <si>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</si>
  <si>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</si>
  <si>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</si>
  <si>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</si>
  <si>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</si>
  <si>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GENUS_NAME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</si>
  <si>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</si>
  <si>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</si>
  <si>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</si>
  <si>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</si>
  <si>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</si>
  <si>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</si>
  <si>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KA_ANABOLISM_FACTOR</t>
  </si>
  <si>
    <t xml:space="preserve"> </t>
  </si>
  <si>
    <t>T.Level2</t>
  </si>
  <si>
    <t>BIOMASS_LIFE_FACTOR</t>
  </si>
  <si>
    <t>control Q per salvar</t>
  </si>
  <si>
    <t>HEIGHT_ADULT</t>
  </si>
  <si>
    <t>CLIMATE_ET0_EVOTRANSPIRATION_AVG</t>
  </si>
  <si>
    <t>add_above_this_line</t>
  </si>
  <si>
    <t>TBD</t>
  </si>
  <si>
    <t>GENUS_ID</t>
  </si>
  <si>
    <t>GUARDAR COM EXCEL HABILITADO PARA MACROS</t>
  </si>
  <si>
    <t>_biomass_adult_max</t>
  </si>
  <si>
    <t>biomass at birth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</si>
  <si>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</si>
  <si>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</si>
  <si>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</si>
  <si>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</si>
  <si>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</si>
  <si>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</si>
  <si>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</si>
  <si>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</si>
  <si>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</si>
  <si>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</si>
  <si>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</si>
  <si>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</si>
  <si>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spr_crop_bush.png</t>
  </si>
  <si>
    <t>12.png</t>
  </si>
  <si>
    <t>63.png</t>
  </si>
  <si>
    <t>79.png</t>
  </si>
  <si>
    <t>66.png</t>
  </si>
  <si>
    <t>24.png</t>
  </si>
  <si>
    <t>1.png</t>
  </si>
  <si>
    <t>68.png</t>
  </si>
  <si>
    <t>102.png</t>
  </si>
  <si>
    <t>2.png</t>
  </si>
  <si>
    <t>92.png</t>
  </si>
  <si>
    <t>77.png</t>
  </si>
  <si>
    <t>10.png</t>
  </si>
  <si>
    <t>tamany relatiu adult</t>
  </si>
  <si>
    <t>4.png</t>
  </si>
  <si>
    <t>138_rd.png</t>
  </si>
  <si>
    <t>91_rd.png</t>
  </si>
  <si>
    <t>130_rd3.png</t>
  </si>
  <si>
    <t>103_rd4.png</t>
  </si>
  <si>
    <t>101_rd.png</t>
  </si>
  <si>
    <t>FAMILY</t>
  </si>
  <si>
    <t>fam_animal_tiny</t>
  </si>
  <si>
    <t>fam_animal_small</t>
  </si>
  <si>
    <t>fam_animal_medium</t>
  </si>
  <si>
    <t>fam_animal_big</t>
  </si>
  <si>
    <t>fam_plant_grass</t>
  </si>
  <si>
    <t>fam_plant_bush</t>
  </si>
  <si>
    <t>fam_tree_small</t>
  </si>
  <si>
    <t>fam_tree_big</t>
  </si>
  <si>
    <t>fam_crop</t>
  </si>
  <si>
    <t>family_area</t>
  </si>
  <si>
    <t>m costat aprox</t>
  </si>
  <si>
    <t>si tamany cell = 10m2, en caben</t>
  </si>
  <si>
    <t xml:space="preserve">es una excepcio, sempre ocupa tot. </t>
  </si>
  <si>
    <t>Que fer amb massa si cell canvia?</t>
  </si>
  <si>
    <t>Lloc</t>
  </si>
  <si>
    <t>1=casa, 0=no a casa</t>
  </si>
  <si>
    <t>160.png</t>
  </si>
  <si>
    <t>94_rd.png</t>
  </si>
  <si>
    <t>96_rd.png</t>
  </si>
  <si>
    <t>ROOT_HEIGHT_RATIO</t>
  </si>
  <si>
    <t>REPRODUCTION_DISTANCE_M</t>
  </si>
  <si>
    <t>PR_BUSH</t>
  </si>
  <si>
    <t>PR_BUSH_2</t>
  </si>
  <si>
    <t>PR_BUSH_3</t>
  </si>
  <si>
    <t>PR_BUSH_4</t>
  </si>
  <si>
    <t>PR_BUSH_5</t>
  </si>
  <si>
    <t>PR_BUSH_DESERT</t>
  </si>
  <si>
    <t>PR_BUSH_ARTIC</t>
  </si>
  <si>
    <t>PR_CROP_BUSH</t>
  </si>
  <si>
    <t>PR_TREE_1</t>
  </si>
  <si>
    <t>PR_TREE_2</t>
  </si>
  <si>
    <t>PR_TREE_3</t>
  </si>
  <si>
    <t>PR_TREE_4</t>
  </si>
  <si>
    <t>PR_TREE_5</t>
  </si>
  <si>
    <t>PRI_TINY</t>
  </si>
  <si>
    <t>PRI_TINY_2</t>
  </si>
  <si>
    <t>PRI_TINY_3</t>
  </si>
  <si>
    <t>PRI_SMALL</t>
  </si>
  <si>
    <t>SEC_MEDIUM</t>
  </si>
  <si>
    <t>PRI_BIG</t>
  </si>
  <si>
    <t>SEC_TINY</t>
  </si>
  <si>
    <t>SEC_SMALL</t>
  </si>
  <si>
    <t>SEC_BIG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</si>
</sst>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A3A3A3"/>
      </right>
      <top style="medium">
        <color rgb="FFA3A3A3"/>
      </top>
      <bottom/>
      <diagonal/>
    </border>
    <border>
      <left/>
      <right style="medium">
        <color rgb="FFA3A3A3"/>
      </right>
      <top/>
      <bottom/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/>
      <top style="medium">
        <color rgb="FFA3A3A3"/>
      </top>
      <bottom/>
      <diagonal/>
    </border>
    <border>
      <left style="medium">
        <color rgb="FFA3A3A3"/>
      </left>
      <right/>
      <top/>
      <bottom/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3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0" fillId="8" borderId="0" xfId="0" applyFill="1"/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4" fillId="0" borderId="0" xfId="0" applyNumberFormat="1" applyFont="1"/>
    <xf numFmtId="10" fontId="14" fillId="0" borderId="0" xfId="1" applyNumberFormat="1" applyFont="1"/>
    <xf numFmtId="0" fontId="14" fillId="0" borderId="0" xfId="0" applyFont="1"/>
    <xf numFmtId="164" fontId="11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8" fillId="0" borderId="0" xfId="0" applyFont="1" applyAlignment="1">
      <alignment wrapText="1"/>
    </xf>
    <xf numFmtId="165" fontId="0" fillId="0" borderId="0" xfId="0" applyNumberFormat="1"/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2" borderId="0" xfId="0" applyFill="1" applyAlignment="1">
      <alignment wrapText="1"/>
    </xf>
    <xf numFmtId="0" fontId="8" fillId="2" borderId="0" xfId="0" applyFont="1" applyFill="1" applyAlignment="1">
      <alignment wrapText="1"/>
    </xf>
    <xf numFmtId="0" fontId="8" fillId="2" borderId="10" xfId="0" applyFont="1" applyFill="1" applyBorder="1"/>
  </cellXfs>
  <cellStyles count="2">
    <cellStyle name="Normal" xfId="0" builtinId="0"/>
    <cellStyle name="Porcentaje" xfId="1" builtinId="5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center" textRotation="0" wrapText="1" indent="0" justifyLastLine="0" shrinkToFit="0" readingOrder="0"/>
      <border diagonalUp="0" diagonalDown="0">
        <left style="medium">
          <color rgb="FFA3A3A3"/>
        </left>
        <right/>
        <top style="medium">
          <color rgb="FFA3A3A3"/>
        </top>
        <bottom style="medium">
          <color rgb="FFA3A3A3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medium">
          <color rgb="FFA3A3A3"/>
        </right>
        <top style="medium">
          <color rgb="FFA3A3A3"/>
        </top>
        <bottom style="medium">
          <color rgb="FFA3A3A3"/>
        </bottom>
        <vertical/>
        <horizontal/>
      </border>
    </dxf>
    <dxf>
      <border outline="0">
        <left style="medium">
          <color rgb="FFA3A3A3"/>
        </left>
        <right style="medium">
          <color rgb="FFA3A3A3"/>
        </right>
        <top style="medium">
          <color rgb="FFA3A3A3"/>
        </top>
        <bottom style="medium">
          <color rgb="FFA3A3A3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medium">
          <color rgb="FFA3A3A3"/>
        </left>
        <right style="medium">
          <color rgb="FFA3A3A3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676275</xdr:colOff>
      <xdr:row>4</xdr:row>
      <xdr:rowOff>47625</xdr:rowOff>
    </xdr:from>
    <xdr:to>
      <xdr:col>10</xdr:col>
      <xdr:colOff>48175</xdr:colOff>
      <xdr:row>25</xdr:row>
      <xdr:rowOff>29131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D018AB-B77C-4A9C-AD46-2D979F7F8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3450" y="809625"/>
          <a:ext cx="3943900" cy="39820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31" totalsRowShown="0">
  <autoFilter ref="A4:B3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7:B40" totalsRowShown="0">
  <autoFilter ref="A37:B4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5EBB88-25E3-4E1C-B625-F7DAC246A31A}" name="Tabla2" displayName="Tabla2" ref="A44:B54" totalsRowShown="0" headerRowDxfId="22" tableBorderDxfId="21">
  <autoFilter ref="A44:B54" xr:uid="{FD5EBB88-25E3-4E1C-B625-F7DAC246A31A}"/>
  <tableColumns count="2">
    <tableColumn id="1" xr3:uid="{063D9E6C-CA14-4C53-8AB5-F0249B0C328B}" name="FAMILY" dataDxfId="20"/>
    <tableColumn id="2" xr3:uid="{C175A2D7-28C4-4E8A-BFFE-8DDA19752258}" name="family_area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W65"/>
  <sheetViews>
    <sheetView tabSelected="1"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G19" sqref="G19"/>
    </sheetView>
  </sheetViews>
  <sheetFormatPr baseColWidth="10" defaultRowHeight="15" x14ac:dyDescent="0.25"/>
  <cols>
    <col min="1" max="1" width="40.42578125" customWidth="1"/>
    <col min="2" max="2" width="15.5703125" customWidth="1"/>
    <col min="3" max="3" width="15.140625" customWidth="1"/>
    <col min="16" max="17" width="11.5703125" customWidth="1"/>
  </cols>
  <sheetData>
    <row r="1" spans="1:23" x14ac:dyDescent="0.25">
      <c r="A1" t="s">
        <v>50</v>
      </c>
      <c r="B1" s="17">
        <f ca="1">NOW()</f>
        <v>44387.344576736112</v>
      </c>
      <c r="C1" s="17"/>
      <c r="E1" s="28" t="s">
        <v>55</v>
      </c>
      <c r="H1" s="6" t="s">
        <v>61</v>
      </c>
      <c r="I1" s="6"/>
      <c r="J1" s="6"/>
      <c r="K1" s="6"/>
      <c r="L1" s="16" t="s">
        <v>111</v>
      </c>
      <c r="M1" s="16">
        <v>1</v>
      </c>
      <c r="N1" s="16" t="s">
        <v>112</v>
      </c>
    </row>
    <row r="2" spans="1:23" x14ac:dyDescent="0.25">
      <c r="A2" s="6" t="s">
        <v>57</v>
      </c>
      <c r="B2" s="7">
        <v>180</v>
      </c>
      <c r="C2" s="7"/>
      <c r="E2" t="s">
        <v>42</v>
      </c>
    </row>
    <row r="3" spans="1:23" x14ac:dyDescent="0.25">
      <c r="A3" t="s">
        <v>45</v>
      </c>
      <c r="B3" s="1">
        <v>0.1</v>
      </c>
      <c r="C3" s="1"/>
      <c r="E3" s="16" t="s">
        <v>47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5" spans="1:23" x14ac:dyDescent="0.25">
      <c r="A5" t="s">
        <v>20</v>
      </c>
      <c r="B5" s="25" t="s">
        <v>7</v>
      </c>
      <c r="C5" s="25" t="s">
        <v>7</v>
      </c>
      <c r="D5" s="25" t="s">
        <v>7</v>
      </c>
      <c r="E5" s="25" t="s">
        <v>7</v>
      </c>
      <c r="F5" s="25" t="s">
        <v>7</v>
      </c>
      <c r="G5" s="25" t="s">
        <v>7</v>
      </c>
      <c r="H5" s="25" t="s">
        <v>7</v>
      </c>
      <c r="I5" s="25" t="s">
        <v>7</v>
      </c>
      <c r="J5" s="25" t="s">
        <v>7</v>
      </c>
      <c r="K5" s="25" t="s">
        <v>7</v>
      </c>
      <c r="L5" s="25" t="s">
        <v>7</v>
      </c>
      <c r="M5" s="25" t="s">
        <v>7</v>
      </c>
      <c r="N5" s="25" t="s">
        <v>7</v>
      </c>
      <c r="O5" s="26" t="s">
        <v>8</v>
      </c>
      <c r="P5" s="26" t="s">
        <v>8</v>
      </c>
      <c r="Q5" s="26" t="s">
        <v>8</v>
      </c>
      <c r="R5" s="26" t="s">
        <v>8</v>
      </c>
      <c r="S5" s="26" t="s">
        <v>8</v>
      </c>
      <c r="T5" s="27" t="s">
        <v>5</v>
      </c>
      <c r="U5" s="27" t="s">
        <v>5</v>
      </c>
      <c r="V5" s="27" t="s">
        <v>5</v>
      </c>
      <c r="W5" s="27" t="s">
        <v>5</v>
      </c>
    </row>
    <row r="6" spans="1:23" x14ac:dyDescent="0.25">
      <c r="A6" s="3" t="s">
        <v>0</v>
      </c>
      <c r="B6" s="4"/>
      <c r="C6" s="4"/>
      <c r="D6" s="4"/>
      <c r="E6" s="4"/>
      <c r="F6" s="4"/>
      <c r="G6" s="4"/>
      <c r="H6" s="19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ht="23.25" x14ac:dyDescent="0.25">
      <c r="A7" t="s">
        <v>44</v>
      </c>
      <c r="B7" s="10" t="s">
        <v>126</v>
      </c>
      <c r="C7" s="10" t="s">
        <v>127</v>
      </c>
      <c r="D7" s="10" t="s">
        <v>128</v>
      </c>
      <c r="E7" s="10" t="s">
        <v>129</v>
      </c>
      <c r="F7" s="10" t="s">
        <v>130</v>
      </c>
      <c r="G7" s="10" t="s">
        <v>123</v>
      </c>
      <c r="H7" s="42" t="s">
        <v>125</v>
      </c>
      <c r="I7" s="10" t="s">
        <v>118</v>
      </c>
      <c r="J7" s="10" t="s">
        <v>119</v>
      </c>
      <c r="K7" s="10" t="s">
        <v>120</v>
      </c>
      <c r="L7" s="10" t="s">
        <v>121</v>
      </c>
      <c r="M7" s="10" t="s">
        <v>122</v>
      </c>
      <c r="N7" s="10" t="s">
        <v>124</v>
      </c>
      <c r="O7" s="10" t="s">
        <v>131</v>
      </c>
      <c r="P7" s="10" t="s">
        <v>132</v>
      </c>
      <c r="Q7" s="10" t="s">
        <v>133</v>
      </c>
      <c r="R7" s="10" t="s">
        <v>134</v>
      </c>
      <c r="S7" s="10" t="s">
        <v>136</v>
      </c>
      <c r="T7" s="10" t="s">
        <v>137</v>
      </c>
      <c r="U7" s="10" t="s">
        <v>138</v>
      </c>
      <c r="V7" s="10" t="s">
        <v>135</v>
      </c>
      <c r="W7" s="10" t="s">
        <v>139</v>
      </c>
    </row>
    <row r="8" spans="1:23" x14ac:dyDescent="0.25">
      <c r="A8" s="38" t="s">
        <v>60</v>
      </c>
      <c r="B8" s="2">
        <f>VLOOKUP(B7,Tabla1[#All],2,FALSE)</f>
        <v>9</v>
      </c>
      <c r="C8" s="2">
        <f>VLOOKUP(C7,Tabla1[#All],2,FALSE)</f>
        <v>10</v>
      </c>
      <c r="D8" s="2">
        <f>VLOOKUP(D7,Tabla1[#All],2,FALSE)</f>
        <v>11</v>
      </c>
      <c r="E8" s="2">
        <f>VLOOKUP(E7,Tabla1[#All],2,FALSE)</f>
        <v>12</v>
      </c>
      <c r="F8" s="2">
        <f>VLOOKUP(F7,Tabla1[#All],2,FALSE)</f>
        <v>13</v>
      </c>
      <c r="G8" s="2">
        <f>VLOOKUP(G7,Tabla1[#All],2,FALSE)</f>
        <v>6</v>
      </c>
      <c r="H8" s="20">
        <f>VLOOKUP(H7,Tabla1[#All],2,FALSE)</f>
        <v>8</v>
      </c>
      <c r="I8" s="2">
        <f>VLOOKUP(I7,Tabla1[#All],2,FALSE)</f>
        <v>1</v>
      </c>
      <c r="J8" s="2">
        <f>VLOOKUP(J7,Tabla1[#All],2,FALSE)</f>
        <v>2</v>
      </c>
      <c r="K8" s="2">
        <f>VLOOKUP(K7,Tabla1[#All],2,FALSE)</f>
        <v>3</v>
      </c>
      <c r="L8" s="2">
        <f>VLOOKUP(L7,Tabla1[#All],2,FALSE)</f>
        <v>4</v>
      </c>
      <c r="M8" s="2">
        <f>VLOOKUP(M7,Tabla1[#All],2,FALSE)</f>
        <v>5</v>
      </c>
      <c r="N8" s="2">
        <f>VLOOKUP(N7,Tabla1[#All],2,FALSE)</f>
        <v>7</v>
      </c>
      <c r="O8" s="2">
        <f>VLOOKUP(O7,Tabla1[#All],2,FALSE)</f>
        <v>14</v>
      </c>
      <c r="P8" s="2">
        <f>VLOOKUP(P7,Tabla1[#All],2,FALSE)</f>
        <v>15</v>
      </c>
      <c r="Q8" s="2">
        <f>VLOOKUP(Q7,Tabla1[#All],2,FALSE)</f>
        <v>16</v>
      </c>
      <c r="R8" s="2">
        <f>VLOOKUP(R7,Tabla1[#All],2,FALSE)</f>
        <v>17</v>
      </c>
      <c r="S8" s="2">
        <f>VLOOKUP(S7,Tabla1[#All],2,FALSE)</f>
        <v>19</v>
      </c>
      <c r="T8" s="2">
        <f>VLOOKUP(T7,Tabla1[#All],2,FALSE)</f>
        <v>20</v>
      </c>
      <c r="U8" s="2">
        <f>VLOOKUP(U7,Tabla1[#All],2,FALSE)</f>
        <v>21</v>
      </c>
      <c r="V8" s="2">
        <f>VLOOKUP(V7,Tabla1[#All],2,FALSE)</f>
        <v>18</v>
      </c>
      <c r="W8" s="2">
        <f>VLOOKUP(W7,Tabla1[#All],2,FALSE)</f>
        <v>22</v>
      </c>
    </row>
    <row r="9" spans="1:23" x14ac:dyDescent="0.25">
      <c r="A9" s="38" t="s">
        <v>6</v>
      </c>
      <c r="B9" s="2">
        <f>VLOOKUP(B5,Tabla3[#All],2,FALSE)</f>
        <v>0</v>
      </c>
      <c r="C9" s="2">
        <f>VLOOKUP(C5,Tabla3[#All],2,FALSE)</f>
        <v>0</v>
      </c>
      <c r="D9" s="2">
        <f>VLOOKUP(D5,Tabla3[#All],2,FALSE)</f>
        <v>0</v>
      </c>
      <c r="E9" s="2">
        <f>VLOOKUP(E5,Tabla3[#All],2,FALSE)</f>
        <v>0</v>
      </c>
      <c r="F9" s="2">
        <f>VLOOKUP(F5,Tabla3[#All],2,FALSE)</f>
        <v>0</v>
      </c>
      <c r="G9" s="2">
        <f>VLOOKUP(G5,Tabla3[#All],2,FALSE)</f>
        <v>0</v>
      </c>
      <c r="H9" s="20">
        <f>VLOOKUP(H5,Tabla3[#All],2,FALSE)</f>
        <v>0</v>
      </c>
      <c r="I9" s="2">
        <f>VLOOKUP(I5,Tabla3[#All],2,FALSE)</f>
        <v>0</v>
      </c>
      <c r="J9" s="2">
        <f>VLOOKUP(J5,Tabla3[#All],2,FALSE)</f>
        <v>0</v>
      </c>
      <c r="K9" s="2">
        <f>VLOOKUP(K5,Tabla3[#All],2,FALSE)</f>
        <v>0</v>
      </c>
      <c r="L9" s="2">
        <f>VLOOKUP(L5,Tabla3[#All],2,FALSE)</f>
        <v>0</v>
      </c>
      <c r="M9" s="2">
        <f>VLOOKUP(M5,Tabla3[#All],2,FALSE)</f>
        <v>0</v>
      </c>
      <c r="N9" s="2">
        <f>VLOOKUP(N5,Tabla3[#All],2,FALSE)</f>
        <v>0</v>
      </c>
      <c r="O9" s="2">
        <f>VLOOKUP(O5,Tabla3[#All],2,FALSE)</f>
        <v>1</v>
      </c>
      <c r="P9" s="2">
        <f>VLOOKUP(P5,Tabla3[#All],2,FALSE)</f>
        <v>1</v>
      </c>
      <c r="Q9" s="2">
        <f>VLOOKUP(Q5,Tabla3[#All],2,FALSE)</f>
        <v>1</v>
      </c>
      <c r="R9" s="2">
        <f>VLOOKUP(R5,Tabla3[#All],2,FALSE)</f>
        <v>1</v>
      </c>
      <c r="S9" s="2">
        <f>VLOOKUP(S5,Tabla3[#All],2,FALSE)</f>
        <v>1</v>
      </c>
      <c r="T9" s="2">
        <f>VLOOKUP(T5,Tabla3[#All],2,FALSE)</f>
        <v>2</v>
      </c>
      <c r="U9" s="2">
        <f>VLOOKUP(U5,Tabla3[#All],2,FALSE)</f>
        <v>2</v>
      </c>
      <c r="V9" s="2">
        <f>VLOOKUP(V5,Tabla3[#All],2,FALSE)</f>
        <v>2</v>
      </c>
      <c r="W9" s="2">
        <f>VLOOKUP(W5,Tabla3[#All],2,FALSE)</f>
        <v>2</v>
      </c>
    </row>
    <row r="10" spans="1:23" ht="30" x14ac:dyDescent="0.25">
      <c r="A10" s="38" t="s">
        <v>96</v>
      </c>
      <c r="B10" s="60" t="s">
        <v>103</v>
      </c>
      <c r="C10" s="60" t="s">
        <v>103</v>
      </c>
      <c r="D10" s="60" t="s">
        <v>104</v>
      </c>
      <c r="E10" s="60" t="s">
        <v>104</v>
      </c>
      <c r="F10" s="60" t="s">
        <v>103</v>
      </c>
      <c r="G10" s="60" t="s">
        <v>102</v>
      </c>
      <c r="H10" s="61" t="s">
        <v>105</v>
      </c>
      <c r="I10" s="60" t="s">
        <v>102</v>
      </c>
      <c r="J10" s="60" t="s">
        <v>102</v>
      </c>
      <c r="K10" s="60" t="s">
        <v>102</v>
      </c>
      <c r="L10" s="60" t="s">
        <v>102</v>
      </c>
      <c r="M10" s="60" t="s">
        <v>102</v>
      </c>
      <c r="N10" s="60" t="s">
        <v>102</v>
      </c>
      <c r="O10" s="60" t="s">
        <v>97</v>
      </c>
      <c r="P10" s="60" t="s">
        <v>97</v>
      </c>
      <c r="Q10" s="60" t="s">
        <v>97</v>
      </c>
      <c r="R10" s="60" t="s">
        <v>98</v>
      </c>
      <c r="S10" s="60" t="s">
        <v>100</v>
      </c>
      <c r="T10" s="60" t="s">
        <v>97</v>
      </c>
      <c r="U10" s="60" t="s">
        <v>98</v>
      </c>
      <c r="V10" s="60" t="s">
        <v>99</v>
      </c>
      <c r="W10" s="60" t="s">
        <v>100</v>
      </c>
    </row>
    <row r="11" spans="1:23" x14ac:dyDescent="0.25">
      <c r="A11" s="39" t="s">
        <v>14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 s="39" t="s">
        <v>10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s="5" customFormat="1" ht="30" x14ac:dyDescent="0.25">
      <c r="A13" s="51" t="s">
        <v>75</v>
      </c>
      <c r="B13" s="52" t="s">
        <v>83</v>
      </c>
      <c r="C13" s="52" t="s">
        <v>95</v>
      </c>
      <c r="D13" s="5" t="s">
        <v>91</v>
      </c>
      <c r="E13" s="5" t="s">
        <v>84</v>
      </c>
      <c r="F13" s="5" t="s">
        <v>93</v>
      </c>
      <c r="G13" s="5" t="s">
        <v>85</v>
      </c>
      <c r="H13" s="5" t="s">
        <v>76</v>
      </c>
      <c r="I13" s="5" t="s">
        <v>94</v>
      </c>
      <c r="J13" s="5" t="s">
        <v>92</v>
      </c>
      <c r="K13" s="5" t="s">
        <v>86</v>
      </c>
      <c r="L13" s="5" t="s">
        <v>114</v>
      </c>
      <c r="M13" s="5" t="s">
        <v>115</v>
      </c>
      <c r="N13" s="5" t="s">
        <v>87</v>
      </c>
      <c r="O13" s="5" t="s">
        <v>79</v>
      </c>
      <c r="P13" s="5" t="s">
        <v>80</v>
      </c>
      <c r="Q13" s="5" t="s">
        <v>78</v>
      </c>
      <c r="R13" s="5" t="s">
        <v>77</v>
      </c>
      <c r="S13" s="5" t="s">
        <v>88</v>
      </c>
      <c r="T13" s="5" t="s">
        <v>113</v>
      </c>
      <c r="U13" s="5" t="s">
        <v>82</v>
      </c>
      <c r="V13" s="5" t="s">
        <v>81</v>
      </c>
      <c r="W13" s="5" t="s">
        <v>90</v>
      </c>
    </row>
    <row r="14" spans="1:23" x14ac:dyDescent="0.25">
      <c r="A14" s="39" t="s">
        <v>43</v>
      </c>
      <c r="B14">
        <v>-1</v>
      </c>
      <c r="C14">
        <v>-1</v>
      </c>
      <c r="D14">
        <v>-1</v>
      </c>
      <c r="E14">
        <v>-1</v>
      </c>
      <c r="F14">
        <v>-1</v>
      </c>
      <c r="G14">
        <v>-1</v>
      </c>
      <c r="H14" s="8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  <c r="S14">
        <v>-1</v>
      </c>
      <c r="T14">
        <v>-1</v>
      </c>
      <c r="U14">
        <v>-1</v>
      </c>
      <c r="V14">
        <v>-1</v>
      </c>
      <c r="W14">
        <v>-1</v>
      </c>
    </row>
    <row r="15" spans="1:23" x14ac:dyDescent="0.25">
      <c r="A15" s="40" t="s">
        <v>18</v>
      </c>
      <c r="B15" s="1">
        <v>220</v>
      </c>
      <c r="C15" s="1">
        <v>220</v>
      </c>
      <c r="D15" s="1">
        <v>220</v>
      </c>
      <c r="E15" s="1">
        <v>220</v>
      </c>
      <c r="F15" s="1">
        <v>220</v>
      </c>
      <c r="G15" s="1">
        <v>40</v>
      </c>
      <c r="H15" s="9">
        <v>350</v>
      </c>
      <c r="I15" s="1">
        <v>15</v>
      </c>
      <c r="J15" s="1">
        <v>15</v>
      </c>
      <c r="K15" s="1">
        <v>15</v>
      </c>
      <c r="L15" s="1">
        <v>15</v>
      </c>
      <c r="M15" s="1">
        <v>15</v>
      </c>
      <c r="N15" s="1">
        <v>5</v>
      </c>
      <c r="O15">
        <v>5</v>
      </c>
      <c r="P15">
        <v>5</v>
      </c>
      <c r="Q15">
        <v>10</v>
      </c>
      <c r="R15">
        <v>30</v>
      </c>
      <c r="S15">
        <v>24</v>
      </c>
      <c r="T15">
        <v>15</v>
      </c>
      <c r="U15">
        <v>60</v>
      </c>
      <c r="V15">
        <v>480</v>
      </c>
      <c r="W15">
        <v>480</v>
      </c>
    </row>
    <row r="16" spans="1:23" x14ac:dyDescent="0.25">
      <c r="A16" s="41" t="s">
        <v>19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9">
        <v>1</v>
      </c>
      <c r="I16" s="1">
        <v>1</v>
      </c>
      <c r="J16" s="1">
        <v>1</v>
      </c>
      <c r="K16" s="1">
        <v>1</v>
      </c>
      <c r="L16" s="1">
        <v>1</v>
      </c>
      <c r="M16" s="1">
        <v>1</v>
      </c>
      <c r="N16" s="1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</row>
    <row r="17" spans="1:23" x14ac:dyDescent="0.25">
      <c r="A17" t="s">
        <v>11</v>
      </c>
      <c r="B17">
        <v>12</v>
      </c>
      <c r="C17">
        <v>12</v>
      </c>
      <c r="D17">
        <v>12</v>
      </c>
      <c r="E17">
        <v>12</v>
      </c>
      <c r="F17">
        <v>12</v>
      </c>
      <c r="G17">
        <v>15</v>
      </c>
      <c r="H17" s="8">
        <v>3</v>
      </c>
      <c r="I17">
        <v>3</v>
      </c>
      <c r="J17">
        <v>3</v>
      </c>
      <c r="K17">
        <v>3</v>
      </c>
      <c r="L17">
        <v>3</v>
      </c>
      <c r="M17">
        <v>3</v>
      </c>
      <c r="N17">
        <v>3</v>
      </c>
      <c r="O17">
        <v>3</v>
      </c>
      <c r="P17">
        <v>3</v>
      </c>
      <c r="Q17">
        <v>7</v>
      </c>
      <c r="R17">
        <v>4</v>
      </c>
      <c r="S17">
        <v>4</v>
      </c>
      <c r="T17">
        <v>5</v>
      </c>
      <c r="U17">
        <v>5</v>
      </c>
      <c r="V17">
        <v>7</v>
      </c>
      <c r="W17">
        <v>7</v>
      </c>
    </row>
    <row r="18" spans="1:23" x14ac:dyDescent="0.25">
      <c r="A18" s="21" t="s">
        <v>12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 s="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0.5</v>
      </c>
      <c r="P18">
        <v>0.5</v>
      </c>
      <c r="Q18">
        <v>0.3</v>
      </c>
      <c r="R18">
        <v>0.5</v>
      </c>
      <c r="S18">
        <v>1</v>
      </c>
      <c r="T18">
        <v>0.3</v>
      </c>
      <c r="U18">
        <v>0.3</v>
      </c>
      <c r="V18">
        <v>1</v>
      </c>
      <c r="W18">
        <v>1</v>
      </c>
    </row>
    <row r="19" spans="1:23" x14ac:dyDescent="0.25">
      <c r="A19" s="22" t="s">
        <v>117</v>
      </c>
      <c r="B19">
        <v>7</v>
      </c>
      <c r="C19">
        <v>7</v>
      </c>
      <c r="D19">
        <v>7</v>
      </c>
      <c r="E19">
        <v>7</v>
      </c>
      <c r="F19">
        <v>7</v>
      </c>
      <c r="G19">
        <v>5</v>
      </c>
      <c r="H19">
        <v>3.4375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1</v>
      </c>
      <c r="P19">
        <v>1</v>
      </c>
      <c r="Q19">
        <v>1.5</v>
      </c>
      <c r="R19">
        <v>1</v>
      </c>
      <c r="S19">
        <v>1</v>
      </c>
      <c r="T19">
        <v>0.5</v>
      </c>
      <c r="U19">
        <v>0.5</v>
      </c>
      <c r="V19">
        <v>3.125E-2</v>
      </c>
      <c r="W19">
        <v>3.125E-2</v>
      </c>
    </row>
    <row r="20" spans="1:23" x14ac:dyDescent="0.25">
      <c r="A20" s="23" t="s">
        <v>23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 s="8">
        <v>4</v>
      </c>
      <c r="I20">
        <v>2</v>
      </c>
      <c r="J20">
        <v>2</v>
      </c>
      <c r="K20">
        <v>2</v>
      </c>
      <c r="L20">
        <v>2</v>
      </c>
      <c r="M20">
        <v>2</v>
      </c>
      <c r="N20">
        <v>4</v>
      </c>
      <c r="O20">
        <v>3</v>
      </c>
      <c r="P20">
        <v>3</v>
      </c>
      <c r="Q20">
        <v>2</v>
      </c>
      <c r="R20">
        <v>2</v>
      </c>
      <c r="S20">
        <v>2</v>
      </c>
      <c r="T20">
        <v>2</v>
      </c>
      <c r="U20">
        <v>2</v>
      </c>
      <c r="V20">
        <v>1</v>
      </c>
      <c r="W20">
        <v>1</v>
      </c>
    </row>
    <row r="21" spans="1:23" x14ac:dyDescent="0.25">
      <c r="A21" s="21" t="s">
        <v>48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8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</v>
      </c>
      <c r="P21">
        <v>2</v>
      </c>
      <c r="Q21">
        <v>2</v>
      </c>
      <c r="R21">
        <v>2</v>
      </c>
      <c r="S21">
        <v>4</v>
      </c>
      <c r="T21">
        <v>3</v>
      </c>
      <c r="U21">
        <v>3</v>
      </c>
      <c r="V21">
        <v>3</v>
      </c>
      <c r="W21">
        <v>6</v>
      </c>
    </row>
    <row r="22" spans="1:23" x14ac:dyDescent="0.25">
      <c r="A22" s="23" t="s">
        <v>49</v>
      </c>
      <c r="B22">
        <v>3</v>
      </c>
      <c r="C22">
        <v>3</v>
      </c>
      <c r="D22">
        <v>3</v>
      </c>
      <c r="E22">
        <v>3</v>
      </c>
      <c r="F22">
        <v>3</v>
      </c>
      <c r="G22">
        <v>1</v>
      </c>
      <c r="H22" s="8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2</v>
      </c>
      <c r="P22">
        <v>2</v>
      </c>
      <c r="Q22">
        <v>2</v>
      </c>
      <c r="R22">
        <v>2</v>
      </c>
      <c r="S22">
        <v>2</v>
      </c>
      <c r="T22">
        <v>3</v>
      </c>
      <c r="U22">
        <v>3</v>
      </c>
      <c r="V22">
        <v>3</v>
      </c>
      <c r="W22">
        <v>3</v>
      </c>
    </row>
    <row r="23" spans="1:23" x14ac:dyDescent="0.25">
      <c r="A23" s="22" t="s">
        <v>64</v>
      </c>
      <c r="B23" s="53">
        <v>0</v>
      </c>
      <c r="C23" s="53">
        <v>0</v>
      </c>
      <c r="D23" s="53">
        <v>0</v>
      </c>
      <c r="E23" s="53">
        <v>0</v>
      </c>
      <c r="F23" s="53">
        <v>0</v>
      </c>
      <c r="G23" s="53">
        <v>0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1</v>
      </c>
      <c r="P23" s="53">
        <v>1</v>
      </c>
      <c r="Q23" s="53">
        <v>1</v>
      </c>
      <c r="R23" s="53">
        <v>1</v>
      </c>
      <c r="S23" s="53">
        <v>1</v>
      </c>
      <c r="T23" s="53">
        <v>4</v>
      </c>
      <c r="U23" s="53">
        <v>2</v>
      </c>
      <c r="V23" s="53">
        <v>4</v>
      </c>
      <c r="W23" s="53">
        <v>4</v>
      </c>
    </row>
    <row r="24" spans="1:23" x14ac:dyDescent="0.25">
      <c r="A24" s="22" t="s">
        <v>68</v>
      </c>
      <c r="B24" s="53">
        <v>0</v>
      </c>
      <c r="C24" s="53">
        <v>0</v>
      </c>
      <c r="D24" s="53">
        <v>0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3">
        <v>0</v>
      </c>
      <c r="K24" s="53">
        <v>0</v>
      </c>
      <c r="L24" s="53">
        <v>0</v>
      </c>
      <c r="M24" s="53">
        <v>0</v>
      </c>
      <c r="N24" s="53">
        <v>0</v>
      </c>
      <c r="O24" s="53">
        <v>6.25E-2</v>
      </c>
      <c r="P24" s="53">
        <v>0.15625</v>
      </c>
      <c r="Q24" s="53">
        <v>0.15625</v>
      </c>
      <c r="R24" s="53">
        <v>0.15625</v>
      </c>
      <c r="S24" s="53">
        <v>0.15625</v>
      </c>
      <c r="T24" s="53">
        <v>0.15625</v>
      </c>
      <c r="U24" s="53">
        <v>0.15625</v>
      </c>
      <c r="V24" s="53">
        <v>0.3125</v>
      </c>
      <c r="W24" s="53">
        <v>0.3125</v>
      </c>
    </row>
    <row r="25" spans="1:23" x14ac:dyDescent="0.25">
      <c r="A25" s="22" t="s">
        <v>69</v>
      </c>
      <c r="B25" s="53">
        <v>0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3">
        <v>0</v>
      </c>
      <c r="K25" s="53">
        <v>0</v>
      </c>
      <c r="L25" s="53">
        <v>0</v>
      </c>
      <c r="M25" s="53">
        <v>0</v>
      </c>
      <c r="N25" s="53">
        <v>0</v>
      </c>
      <c r="O25" s="53">
        <v>9.375E-2</v>
      </c>
      <c r="P25" s="53">
        <v>0.3125</v>
      </c>
      <c r="Q25" s="53">
        <v>0.3125</v>
      </c>
      <c r="R25" s="53">
        <v>0.3125</v>
      </c>
      <c r="S25" s="53">
        <v>0.3125</v>
      </c>
      <c r="T25" s="53">
        <v>0.3125</v>
      </c>
      <c r="U25" s="53">
        <v>0.625</v>
      </c>
      <c r="V25" s="53">
        <v>0.625</v>
      </c>
      <c r="W25" s="53">
        <v>0.625</v>
      </c>
    </row>
    <row r="26" spans="1:23" x14ac:dyDescent="0.25">
      <c r="A26" s="23" t="s">
        <v>15</v>
      </c>
      <c r="B26">
        <v>400</v>
      </c>
      <c r="C26">
        <v>400</v>
      </c>
      <c r="D26">
        <v>400</v>
      </c>
      <c r="E26">
        <v>400</v>
      </c>
      <c r="F26">
        <v>400</v>
      </c>
      <c r="G26">
        <v>8</v>
      </c>
      <c r="H26" s="8">
        <v>500</v>
      </c>
      <c r="I26">
        <v>6</v>
      </c>
      <c r="J26">
        <v>6</v>
      </c>
      <c r="K26">
        <v>6</v>
      </c>
      <c r="L26">
        <v>6</v>
      </c>
      <c r="M26">
        <v>6</v>
      </c>
      <c r="N26">
        <v>10</v>
      </c>
      <c r="O26">
        <v>1</v>
      </c>
      <c r="P26">
        <v>3</v>
      </c>
      <c r="Q26">
        <v>6</v>
      </c>
      <c r="R26">
        <v>12</v>
      </c>
      <c r="S26">
        <v>12</v>
      </c>
      <c r="T26">
        <v>8</v>
      </c>
      <c r="U26">
        <v>30</v>
      </c>
      <c r="V26">
        <v>250</v>
      </c>
      <c r="W26">
        <v>250</v>
      </c>
    </row>
    <row r="27" spans="1:23" x14ac:dyDescent="0.25">
      <c r="A27" s="8" t="s">
        <v>56</v>
      </c>
      <c r="B27" s="8">
        <v>8</v>
      </c>
      <c r="C27" s="8">
        <v>8</v>
      </c>
      <c r="D27" s="8">
        <v>8</v>
      </c>
      <c r="E27" s="8">
        <v>8</v>
      </c>
      <c r="F27" s="8">
        <v>8</v>
      </c>
      <c r="G27" s="8">
        <v>2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2</v>
      </c>
      <c r="S27" s="8">
        <v>2</v>
      </c>
      <c r="T27" s="8">
        <v>1</v>
      </c>
      <c r="U27" s="8">
        <v>2</v>
      </c>
      <c r="V27" s="8">
        <v>2</v>
      </c>
      <c r="W27" s="8">
        <v>2</v>
      </c>
    </row>
    <row r="28" spans="1:23" x14ac:dyDescent="0.25">
      <c r="A28" s="8" t="s">
        <v>116</v>
      </c>
      <c r="B28" s="8">
        <v>2</v>
      </c>
      <c r="C28" s="8">
        <v>2</v>
      </c>
      <c r="D28" s="8">
        <v>2</v>
      </c>
      <c r="E28" s="8">
        <v>2</v>
      </c>
      <c r="F28" s="8">
        <v>2</v>
      </c>
      <c r="G28" s="8">
        <v>2</v>
      </c>
      <c r="H28" s="8">
        <v>20</v>
      </c>
      <c r="I28" s="8">
        <v>4</v>
      </c>
      <c r="J28" s="8">
        <v>4</v>
      </c>
      <c r="K28" s="8">
        <v>4</v>
      </c>
      <c r="L28" s="8">
        <v>4</v>
      </c>
      <c r="M28" s="8">
        <v>4</v>
      </c>
      <c r="N28" s="8">
        <v>4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</row>
    <row r="29" spans="1:23" x14ac:dyDescent="0.25">
      <c r="A29" s="21" t="s">
        <v>30</v>
      </c>
      <c r="B29" s="28">
        <v>0</v>
      </c>
      <c r="C29" s="28">
        <v>0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>
        <v>0</v>
      </c>
      <c r="J29" s="28">
        <v>0</v>
      </c>
      <c r="K29" s="28">
        <v>0</v>
      </c>
      <c r="L29" s="28">
        <v>0</v>
      </c>
      <c r="M29" s="28">
        <v>0</v>
      </c>
      <c r="N29" s="28">
        <v>0</v>
      </c>
      <c r="O29">
        <v>0.3</v>
      </c>
      <c r="P29">
        <v>0.4</v>
      </c>
      <c r="Q29">
        <v>0.3</v>
      </c>
      <c r="R29">
        <v>0.3</v>
      </c>
      <c r="S29">
        <v>0.3</v>
      </c>
      <c r="T29">
        <v>0.4</v>
      </c>
      <c r="U29">
        <v>0.4</v>
      </c>
      <c r="V29">
        <v>0.15</v>
      </c>
      <c r="W29">
        <v>0.15</v>
      </c>
    </row>
    <row r="30" spans="1:23" x14ac:dyDescent="0.25">
      <c r="A30" s="24" t="s">
        <v>13</v>
      </c>
      <c r="B30">
        <v>0.1</v>
      </c>
      <c r="C30">
        <v>0.1</v>
      </c>
      <c r="D30">
        <v>0.1</v>
      </c>
      <c r="E30">
        <v>0.1</v>
      </c>
      <c r="F30">
        <v>0.1</v>
      </c>
      <c r="G30">
        <v>0.2</v>
      </c>
      <c r="H30" s="8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0.1</v>
      </c>
      <c r="O30">
        <v>0.2</v>
      </c>
      <c r="P30">
        <v>0.2</v>
      </c>
      <c r="Q30">
        <v>0.3</v>
      </c>
      <c r="R30">
        <v>0.3</v>
      </c>
      <c r="S30">
        <v>0.3</v>
      </c>
      <c r="T30">
        <v>0.3</v>
      </c>
      <c r="U30">
        <v>0.3</v>
      </c>
      <c r="V30">
        <v>0.3</v>
      </c>
      <c r="W30">
        <v>0.3</v>
      </c>
    </row>
    <row r="31" spans="1:23" x14ac:dyDescent="0.25">
      <c r="A31" s="22" t="s">
        <v>54</v>
      </c>
      <c r="B31">
        <v>0.6</v>
      </c>
      <c r="C31">
        <v>0.6</v>
      </c>
      <c r="D31">
        <v>0.6</v>
      </c>
      <c r="E31">
        <v>0.6</v>
      </c>
      <c r="F31">
        <v>0.6</v>
      </c>
      <c r="G31">
        <v>0.6</v>
      </c>
      <c r="H31">
        <v>0.6</v>
      </c>
      <c r="I31">
        <v>0.7</v>
      </c>
      <c r="J31">
        <v>0.7</v>
      </c>
      <c r="K31">
        <v>0.7</v>
      </c>
      <c r="L31">
        <v>0.7</v>
      </c>
      <c r="M31">
        <v>0.7</v>
      </c>
      <c r="N31">
        <v>0.6</v>
      </c>
      <c r="O31">
        <v>0.8</v>
      </c>
      <c r="P31">
        <v>0.9</v>
      </c>
      <c r="Q31">
        <v>0.5</v>
      </c>
      <c r="R31">
        <v>0.8</v>
      </c>
      <c r="S31">
        <v>0.8</v>
      </c>
      <c r="T31">
        <v>0.6</v>
      </c>
      <c r="U31">
        <v>0.6</v>
      </c>
      <c r="V31">
        <v>0.8</v>
      </c>
      <c r="W31">
        <v>0.8</v>
      </c>
    </row>
    <row r="32" spans="1:23" x14ac:dyDescent="0.25">
      <c r="A32" s="33" t="s">
        <v>31</v>
      </c>
      <c r="B32" s="29">
        <v>0.5</v>
      </c>
      <c r="C32" s="29">
        <v>0.5</v>
      </c>
      <c r="D32" s="29">
        <v>0.5</v>
      </c>
      <c r="E32" s="29">
        <v>0.5</v>
      </c>
      <c r="F32" s="29">
        <v>0.5</v>
      </c>
      <c r="G32" s="29">
        <v>0.5</v>
      </c>
      <c r="H32" s="29">
        <v>1</v>
      </c>
      <c r="I32" s="29">
        <v>1.2</v>
      </c>
      <c r="J32" s="29">
        <v>1.2</v>
      </c>
      <c r="K32" s="29">
        <v>1.2</v>
      </c>
      <c r="L32" s="29">
        <v>1.2</v>
      </c>
      <c r="M32" s="29">
        <v>1.2</v>
      </c>
      <c r="N32" s="29">
        <v>1.5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5">
      <c r="A33" s="34" t="s">
        <v>51</v>
      </c>
      <c r="B33" s="29">
        <v>0.8</v>
      </c>
      <c r="C33" s="29">
        <v>0.8</v>
      </c>
      <c r="D33" s="29">
        <v>0.8</v>
      </c>
      <c r="E33" s="29">
        <v>0.8</v>
      </c>
      <c r="F33" s="29">
        <v>0.8</v>
      </c>
      <c r="G33" s="30">
        <v>0.5</v>
      </c>
      <c r="H33" s="31">
        <v>0.15</v>
      </c>
      <c r="I33" s="29">
        <v>0.4</v>
      </c>
      <c r="J33" s="29">
        <v>0.4</v>
      </c>
      <c r="K33" s="29">
        <v>0.4</v>
      </c>
      <c r="L33" s="29">
        <v>0.4</v>
      </c>
      <c r="M33" s="29">
        <v>0.4</v>
      </c>
      <c r="N33" s="29">
        <v>0.04</v>
      </c>
      <c r="O33" s="29">
        <v>0.7</v>
      </c>
      <c r="P33" s="29">
        <v>0.7</v>
      </c>
      <c r="Q33" s="29">
        <v>0.3</v>
      </c>
      <c r="R33" s="32">
        <v>0.6</v>
      </c>
      <c r="S33" s="32">
        <v>0.6</v>
      </c>
      <c r="T33" s="29">
        <v>1.3</v>
      </c>
      <c r="U33" s="29">
        <v>1.3</v>
      </c>
      <c r="V33" s="29">
        <v>0.3</v>
      </c>
      <c r="W33" s="29">
        <v>0.3</v>
      </c>
    </row>
    <row r="34" spans="1:23" x14ac:dyDescent="0.25">
      <c r="A34" s="35" t="s">
        <v>28</v>
      </c>
      <c r="B34" s="29">
        <v>0.4</v>
      </c>
      <c r="C34" s="29">
        <v>0.4</v>
      </c>
      <c r="D34" s="29">
        <v>0.4</v>
      </c>
      <c r="E34" s="29">
        <v>0.4</v>
      </c>
      <c r="F34" s="29">
        <v>0.4</v>
      </c>
      <c r="G34" s="30">
        <v>0.5</v>
      </c>
      <c r="H34" s="31">
        <v>0.1</v>
      </c>
      <c r="I34" s="30">
        <v>0.3</v>
      </c>
      <c r="J34" s="30">
        <v>0.3</v>
      </c>
      <c r="K34" s="30">
        <v>0.3</v>
      </c>
      <c r="L34" s="30">
        <v>0.3</v>
      </c>
      <c r="M34" s="30">
        <v>0.3</v>
      </c>
      <c r="N34" s="29">
        <v>0.4</v>
      </c>
      <c r="O34" s="29">
        <v>7.0000000000000007E-2</v>
      </c>
      <c r="P34" s="29">
        <v>7.0000000000000007E-2</v>
      </c>
      <c r="Q34" s="29">
        <v>0.06</v>
      </c>
      <c r="R34" s="32">
        <v>0.08</v>
      </c>
      <c r="S34" s="32">
        <v>0.08</v>
      </c>
      <c r="T34" s="29">
        <v>0.1</v>
      </c>
      <c r="U34" s="29">
        <v>0.1</v>
      </c>
      <c r="V34" s="29">
        <v>0.02</v>
      </c>
      <c r="W34" s="29">
        <v>0.02</v>
      </c>
    </row>
    <row r="35" spans="1:23" x14ac:dyDescent="0.25">
      <c r="A35" s="36" t="s">
        <v>16</v>
      </c>
      <c r="B35" s="1">
        <v>5</v>
      </c>
      <c r="C35" s="1">
        <v>10</v>
      </c>
      <c r="D35" s="1">
        <v>15</v>
      </c>
      <c r="E35" s="1">
        <v>20</v>
      </c>
      <c r="F35" s="1">
        <v>25</v>
      </c>
      <c r="G35" s="1">
        <v>20</v>
      </c>
      <c r="H35" s="9">
        <v>20</v>
      </c>
      <c r="I35" s="1">
        <v>5</v>
      </c>
      <c r="J35" s="1">
        <v>10</v>
      </c>
      <c r="K35" s="1">
        <v>15</v>
      </c>
      <c r="L35" s="1">
        <v>20</v>
      </c>
      <c r="M35" s="1">
        <v>25</v>
      </c>
      <c r="N35" s="1">
        <v>-10</v>
      </c>
      <c r="O35" s="7">
        <v>15</v>
      </c>
      <c r="P35" s="7">
        <v>15</v>
      </c>
      <c r="Q35" s="7">
        <v>15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</row>
    <row r="36" spans="1:23" x14ac:dyDescent="0.25">
      <c r="A36" s="37" t="s">
        <v>22</v>
      </c>
      <c r="B36" s="1">
        <v>8</v>
      </c>
      <c r="C36" s="1">
        <v>8</v>
      </c>
      <c r="D36" s="1">
        <v>8</v>
      </c>
      <c r="E36" s="1">
        <v>8</v>
      </c>
      <c r="F36" s="1">
        <v>8</v>
      </c>
      <c r="G36" s="1">
        <v>10</v>
      </c>
      <c r="H36" s="9">
        <v>10</v>
      </c>
      <c r="I36" s="1">
        <v>8</v>
      </c>
      <c r="J36" s="1">
        <v>8</v>
      </c>
      <c r="K36" s="1">
        <v>8</v>
      </c>
      <c r="L36" s="1">
        <v>8</v>
      </c>
      <c r="M36" s="1">
        <v>8</v>
      </c>
      <c r="N36" s="1">
        <v>20</v>
      </c>
      <c r="O36" s="7">
        <v>15</v>
      </c>
      <c r="P36" s="7">
        <v>15</v>
      </c>
      <c r="Q36" s="7">
        <v>14</v>
      </c>
      <c r="R36" s="7">
        <v>50</v>
      </c>
      <c r="S36" s="7">
        <v>50</v>
      </c>
      <c r="T36" s="7">
        <v>50</v>
      </c>
      <c r="U36" s="7">
        <v>50</v>
      </c>
      <c r="V36" s="7">
        <v>50</v>
      </c>
      <c r="W36" s="7">
        <v>50</v>
      </c>
    </row>
    <row r="37" spans="1:23" x14ac:dyDescent="0.25">
      <c r="A37" s="62" t="s">
        <v>29</v>
      </c>
      <c r="B37" s="9">
        <v>0.9</v>
      </c>
      <c r="C37" s="9">
        <v>0.9</v>
      </c>
      <c r="D37" s="9">
        <v>0.9</v>
      </c>
      <c r="E37" s="9">
        <v>0.9</v>
      </c>
      <c r="F37" s="9">
        <v>0.9</v>
      </c>
      <c r="G37" s="9">
        <v>0.1</v>
      </c>
      <c r="H37" s="9">
        <v>0.7</v>
      </c>
      <c r="I37" s="9">
        <v>0.7</v>
      </c>
      <c r="J37" s="9">
        <v>0.7</v>
      </c>
      <c r="K37" s="9">
        <v>0.7</v>
      </c>
      <c r="L37" s="9">
        <v>0.7</v>
      </c>
      <c r="M37" s="9">
        <v>0.7</v>
      </c>
      <c r="N37" s="9">
        <v>0.9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</row>
    <row r="38" spans="1:23" x14ac:dyDescent="0.25">
      <c r="A38" s="6"/>
    </row>
    <row r="39" spans="1:23" x14ac:dyDescent="0.25">
      <c r="A39" s="6"/>
    </row>
    <row r="40" spans="1:23" x14ac:dyDescent="0.25">
      <c r="A40" s="6"/>
    </row>
    <row r="41" spans="1:23" x14ac:dyDescent="0.25">
      <c r="A41" s="6"/>
    </row>
    <row r="42" spans="1:23" x14ac:dyDescent="0.25">
      <c r="A42" s="6"/>
      <c r="H42" s="6"/>
    </row>
    <row r="43" spans="1:23" x14ac:dyDescent="0.25">
      <c r="A43" s="3" t="s">
        <v>1</v>
      </c>
      <c r="B43" s="4"/>
      <c r="C43" s="4"/>
      <c r="D43" s="4"/>
      <c r="E43" s="4"/>
      <c r="F43" s="4"/>
      <c r="G43" s="4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</row>
    <row r="44" spans="1:23" s="5" customFormat="1" ht="45" x14ac:dyDescent="0.25">
      <c r="A44" s="5" t="s">
        <v>24</v>
      </c>
      <c r="F44" s="14" t="s">
        <v>27</v>
      </c>
      <c r="G44" s="14" t="s">
        <v>25</v>
      </c>
      <c r="H44" s="14"/>
      <c r="I44" s="14"/>
      <c r="J44" s="14"/>
      <c r="K44" s="14"/>
      <c r="L44" s="14"/>
      <c r="M44" s="14"/>
      <c r="N44" s="14" t="s">
        <v>26</v>
      </c>
    </row>
    <row r="45" spans="1:23" x14ac:dyDescent="0.25">
      <c r="H45" s="6"/>
    </row>
    <row r="46" spans="1:23" x14ac:dyDescent="0.25">
      <c r="A46" t="s">
        <v>53</v>
      </c>
      <c r="B46" s="25" t="str">
        <f>+B5</f>
        <v>PRODUCER</v>
      </c>
      <c r="C46" s="25" t="str">
        <f>+C5</f>
        <v>PRODUCER</v>
      </c>
      <c r="D46" s="25" t="str">
        <f>+D5</f>
        <v>PRODUCER</v>
      </c>
      <c r="E46" s="25" t="str">
        <f>+E5</f>
        <v>PRODUCER</v>
      </c>
      <c r="F46" s="25" t="str">
        <f>+F5</f>
        <v>PRODUCER</v>
      </c>
      <c r="G46" s="25" t="str">
        <f>+G5</f>
        <v>PRODUCER</v>
      </c>
      <c r="H46" s="25" t="str">
        <f>+H5</f>
        <v>PRODUCER</v>
      </c>
      <c r="I46" s="25" t="str">
        <f>+I5</f>
        <v>PRODUCER</v>
      </c>
      <c r="J46" s="25" t="str">
        <f>+J5</f>
        <v>PRODUCER</v>
      </c>
      <c r="K46" s="25" t="str">
        <f>+K5</f>
        <v>PRODUCER</v>
      </c>
      <c r="L46" s="25" t="str">
        <f>+L5</f>
        <v>PRODUCER</v>
      </c>
      <c r="M46" s="25" t="str">
        <f>+M5</f>
        <v>PRODUCER</v>
      </c>
      <c r="N46" s="25" t="str">
        <f>+N5</f>
        <v>PRODUCER</v>
      </c>
      <c r="O46" s="26" t="str">
        <f>+O5</f>
        <v>PRIMARY</v>
      </c>
      <c r="P46" s="26" t="str">
        <f>+P5</f>
        <v>PRIMARY</v>
      </c>
      <c r="Q46" s="26" t="str">
        <f>+Q5</f>
        <v>PRIMARY</v>
      </c>
      <c r="R46" s="26" t="str">
        <f>+R5</f>
        <v>PRIMARY</v>
      </c>
      <c r="S46" s="26" t="str">
        <f>+S5</f>
        <v>PRIMARY</v>
      </c>
      <c r="T46" s="27" t="str">
        <f>+T5</f>
        <v>SECONDARY</v>
      </c>
      <c r="U46" s="27" t="str">
        <f>+U5</f>
        <v>SECONDARY</v>
      </c>
      <c r="V46" s="27" t="str">
        <f>+V5</f>
        <v>SECONDARY</v>
      </c>
      <c r="W46" s="27" t="str">
        <f>+W5</f>
        <v>SECONDARY</v>
      </c>
    </row>
    <row r="47" spans="1:23" x14ac:dyDescent="0.25">
      <c r="A47" t="s">
        <v>21</v>
      </c>
      <c r="B47" s="15">
        <f>+B34/B33/$B$2/$B$3</f>
        <v>2.7777777777777776E-2</v>
      </c>
      <c r="C47" s="15">
        <f>+C34/C33/$B$2/$B$3</f>
        <v>2.7777777777777776E-2</v>
      </c>
      <c r="D47" s="15">
        <f>+D34/D33/$B$2/$B$3</f>
        <v>2.7777777777777776E-2</v>
      </c>
      <c r="E47" s="15">
        <f>+E34/E33/$B$2/$B$3</f>
        <v>2.7777777777777776E-2</v>
      </c>
      <c r="F47" s="15">
        <f>+F34/F33/$B$2/$B$3</f>
        <v>2.7777777777777776E-2</v>
      </c>
      <c r="G47" s="15">
        <f>+G34/G33/$B$2/$B$3</f>
        <v>5.5555555555555552E-2</v>
      </c>
      <c r="H47" s="15">
        <f>+H34/H33/$B$2/$B$3</f>
        <v>3.7037037037037042E-2</v>
      </c>
      <c r="I47" s="15">
        <f>+I34/I33/$B$2/$B$3</f>
        <v>4.1666666666666657E-2</v>
      </c>
      <c r="J47" s="15">
        <f>+J34/J33/$B$2/$B$3</f>
        <v>4.1666666666666657E-2</v>
      </c>
      <c r="K47" s="15">
        <f>+K34/K33/$B$2/$B$3</f>
        <v>4.1666666666666657E-2</v>
      </c>
      <c r="L47" s="15">
        <f>+L34/L33/$B$2/$B$3</f>
        <v>4.1666666666666657E-2</v>
      </c>
      <c r="M47" s="15">
        <f>+M34/M33/$B$2/$B$3</f>
        <v>4.1666666666666657E-2</v>
      </c>
      <c r="N47" s="15">
        <f>+N34/N33/$B$2/$B$3</f>
        <v>0.55555555555555547</v>
      </c>
      <c r="O47" s="49">
        <f>+O29</f>
        <v>0.3</v>
      </c>
      <c r="P47" s="49">
        <f>+P29</f>
        <v>0.4</v>
      </c>
      <c r="Q47" s="49">
        <f>+Q29</f>
        <v>0.3</v>
      </c>
      <c r="R47" s="49">
        <f>+R29</f>
        <v>0.3</v>
      </c>
      <c r="S47" s="49">
        <f>+S29</f>
        <v>0.3</v>
      </c>
      <c r="T47" s="49">
        <f>+T29</f>
        <v>0.4</v>
      </c>
      <c r="U47" s="49">
        <f>+U29</f>
        <v>0.4</v>
      </c>
      <c r="V47" s="49">
        <f>+V29</f>
        <v>0.15</v>
      </c>
      <c r="W47" s="49">
        <f>+W29</f>
        <v>0.15</v>
      </c>
    </row>
    <row r="48" spans="1:23" x14ac:dyDescent="0.25">
      <c r="H48" s="6"/>
    </row>
    <row r="49" spans="1:23" x14ac:dyDescent="0.25">
      <c r="A49" t="s">
        <v>65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 s="48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10</v>
      </c>
      <c r="P49">
        <v>10</v>
      </c>
      <c r="Q49">
        <v>10</v>
      </c>
      <c r="R49">
        <v>10</v>
      </c>
      <c r="S49">
        <v>10</v>
      </c>
      <c r="T49">
        <v>10</v>
      </c>
      <c r="U49">
        <v>10</v>
      </c>
      <c r="V49">
        <v>10</v>
      </c>
      <c r="W49">
        <v>10</v>
      </c>
    </row>
    <row r="50" spans="1:23" x14ac:dyDescent="0.25">
      <c r="A50" t="s">
        <v>67</v>
      </c>
      <c r="B50" s="18">
        <f>+B47*B26*$B$3*$B$2*B32</f>
        <v>100</v>
      </c>
      <c r="C50" s="18">
        <f>+C47*C26*$B$3*$B$2*C32</f>
        <v>100</v>
      </c>
      <c r="D50" s="18">
        <f>+D47*D26*$B$3*$B$2*D32</f>
        <v>100</v>
      </c>
      <c r="E50" s="18">
        <f>+E47*E26*$B$3*$B$2*E32</f>
        <v>100</v>
      </c>
      <c r="F50" s="18">
        <f>+F47*F26*$B$3*$B$2*F32</f>
        <v>100</v>
      </c>
      <c r="G50" s="18">
        <f>+G47*G26*$B$3*$B$2*G32</f>
        <v>4</v>
      </c>
      <c r="H50" s="18">
        <f>+H47*H26*$B$3*$B$2*H32</f>
        <v>333.33333333333343</v>
      </c>
      <c r="I50" s="18">
        <f>+I47*I26*$B$3*$B$2*I32</f>
        <v>5.3999999999999986</v>
      </c>
      <c r="J50" s="18">
        <f>+J47*J26*$B$3*$B$2*J32</f>
        <v>5.3999999999999986</v>
      </c>
      <c r="K50" s="18">
        <f>+K47*K26*$B$3*$B$2*K32</f>
        <v>5.3999999999999986</v>
      </c>
      <c r="L50" s="18">
        <f>+L47*L26*$B$3*$B$2*L32</f>
        <v>5.3999999999999986</v>
      </c>
      <c r="M50" s="18">
        <f>+M47*M26*$B$3*$B$2*M32</f>
        <v>5.3999999999999986</v>
      </c>
      <c r="N50" s="18">
        <f>+N47*N26*$B$3*$B$2*N32</f>
        <v>149.99999999999997</v>
      </c>
      <c r="O50" s="43">
        <f>+O47*O26</f>
        <v>0.3</v>
      </c>
      <c r="P50" s="43">
        <f>+P47*P26</f>
        <v>1.2000000000000002</v>
      </c>
      <c r="Q50" s="43">
        <f>+Q47*Q26</f>
        <v>1.7999999999999998</v>
      </c>
      <c r="R50" s="43">
        <f>+R47*R26</f>
        <v>3.5999999999999996</v>
      </c>
      <c r="S50" s="43">
        <f>+S47*S26</f>
        <v>3.5999999999999996</v>
      </c>
      <c r="T50" s="43">
        <f>+T47*T26</f>
        <v>3.2</v>
      </c>
      <c r="U50" s="43">
        <f>+U47*U26</f>
        <v>12</v>
      </c>
      <c r="V50" s="43">
        <f>+V47*V26</f>
        <v>37.5</v>
      </c>
      <c r="W50" s="43">
        <f>+W47*W26</f>
        <v>37.5</v>
      </c>
    </row>
    <row r="51" spans="1:23" x14ac:dyDescent="0.25">
      <c r="A51" t="s">
        <v>46</v>
      </c>
      <c r="B51" s="44">
        <f>+B50*B33/B49</f>
        <v>80</v>
      </c>
      <c r="C51" s="44">
        <f>+C50*C33/C49</f>
        <v>80</v>
      </c>
      <c r="D51" s="44">
        <f>+D50*D33/D49</f>
        <v>80</v>
      </c>
      <c r="E51" s="44">
        <f>+E50*E33/E49</f>
        <v>80</v>
      </c>
      <c r="F51" s="46">
        <f>+F50*F33/F49</f>
        <v>80</v>
      </c>
      <c r="G51" s="46">
        <f>+G50*G33/G49</f>
        <v>2</v>
      </c>
      <c r="H51" s="46">
        <f>+H50*H33/H49</f>
        <v>50.000000000000014</v>
      </c>
      <c r="I51" s="46">
        <f>+I50*I33/I49</f>
        <v>2.1599999999999997</v>
      </c>
      <c r="J51" s="46">
        <f>+J50*J33/J49</f>
        <v>2.1599999999999997</v>
      </c>
      <c r="K51" s="46">
        <f>+K50*K33/K49</f>
        <v>2.1599999999999997</v>
      </c>
      <c r="L51" s="46">
        <f>+L50*L33/L49</f>
        <v>2.1599999999999997</v>
      </c>
      <c r="M51" s="46">
        <f>+M50*M33/M49</f>
        <v>2.1599999999999997</v>
      </c>
      <c r="N51" s="46">
        <f>+N50*N33/N49</f>
        <v>5.9999999999999991</v>
      </c>
      <c r="O51" s="46">
        <f>+O50*O33/O49</f>
        <v>2.0999999999999998E-2</v>
      </c>
      <c r="P51" s="46">
        <f>+P50*P33/P49</f>
        <v>8.4000000000000005E-2</v>
      </c>
      <c r="Q51" s="46">
        <f>+Q50*Q33/Q49</f>
        <v>5.3999999999999992E-2</v>
      </c>
      <c r="R51" s="46">
        <f>+R50*R33/R49</f>
        <v>0.21599999999999997</v>
      </c>
      <c r="S51" s="46">
        <f>+S50*S33/S49</f>
        <v>0.21599999999999997</v>
      </c>
      <c r="T51" s="46">
        <f>+T50*T33/T49</f>
        <v>0.41600000000000004</v>
      </c>
      <c r="U51" s="46">
        <f>+U50*U33/U49</f>
        <v>1.56</v>
      </c>
      <c r="V51" s="46">
        <f>+V50*V33/V49</f>
        <v>1.125</v>
      </c>
      <c r="W51" s="46">
        <f>+W50*W33/W49</f>
        <v>1.125</v>
      </c>
    </row>
    <row r="52" spans="1:23" x14ac:dyDescent="0.25">
      <c r="A52" t="s">
        <v>66</v>
      </c>
      <c r="B52" s="46">
        <f>+B34*B26*(1-B47)/B49</f>
        <v>155.55555555555554</v>
      </c>
      <c r="C52" s="46">
        <f>+C34*C26*(1-C47)/C49</f>
        <v>155.55555555555554</v>
      </c>
      <c r="D52" s="46">
        <f>+D34*D26*(1-D47)/D49</f>
        <v>155.55555555555554</v>
      </c>
      <c r="E52" s="46">
        <f>+E34*E26*(1-E47)/E49</f>
        <v>155.55555555555554</v>
      </c>
      <c r="F52" s="46">
        <f>+F34*F26*(1-F47)/F49</f>
        <v>155.55555555555554</v>
      </c>
      <c r="G52" s="46">
        <f>+G34*G26*(1-G47)/G49</f>
        <v>3.7777777777777777</v>
      </c>
      <c r="H52" s="46">
        <f>+H34*H26*(1-H47)/H49</f>
        <v>48.148148148148145</v>
      </c>
      <c r="I52" s="46">
        <f>+I34*I26*(1-I47)/I49</f>
        <v>1.7249999999999999</v>
      </c>
      <c r="J52" s="46">
        <f>+J34*J26*(1-J47)/J49</f>
        <v>1.7249999999999999</v>
      </c>
      <c r="K52" s="46">
        <f>+K34*K26*(1-K47)/K49</f>
        <v>1.7249999999999999</v>
      </c>
      <c r="L52" s="46">
        <f>+L34*L26*(1-L47)/L49</f>
        <v>1.7249999999999999</v>
      </c>
      <c r="M52" s="46">
        <f>+M34*M26*(1-M47)/M49</f>
        <v>1.7249999999999999</v>
      </c>
      <c r="N52" s="46">
        <f>+N34*N26*(1-N47)/N49</f>
        <v>1.7777777777777781</v>
      </c>
      <c r="O52" s="46">
        <f>+O34*O26*(1-O29)/O49</f>
        <v>4.8999999999999998E-3</v>
      </c>
      <c r="P52" s="46">
        <f>+P34*P26*(1-P29)/P49</f>
        <v>1.26E-2</v>
      </c>
      <c r="Q52" s="46">
        <f>+Q34*Q26*(1-Q29)/Q49</f>
        <v>2.52E-2</v>
      </c>
      <c r="R52" s="46">
        <f>+R34*R26*(1-R29)/R49</f>
        <v>6.7199999999999996E-2</v>
      </c>
      <c r="S52" s="46">
        <f>+S34*S26*(1-S29)/S49</f>
        <v>6.7199999999999996E-2</v>
      </c>
      <c r="T52" s="46">
        <f>+T34*T26*(1-T29)/T49</f>
        <v>4.8000000000000001E-2</v>
      </c>
      <c r="U52" s="46">
        <f>+U34*U26*(1-U29)/U49</f>
        <v>0.18</v>
      </c>
      <c r="V52" s="46">
        <f>+V34*V26*(1-V29)/V49</f>
        <v>0.42499999999999999</v>
      </c>
      <c r="W52" s="46">
        <f>+W34*W26*(1-W29)/W49</f>
        <v>0.42499999999999999</v>
      </c>
    </row>
    <row r="53" spans="1:23" x14ac:dyDescent="0.25">
      <c r="A53" t="s">
        <v>73</v>
      </c>
      <c r="B53" s="44">
        <f>+B51-B52</f>
        <v>-75.555555555555543</v>
      </c>
      <c r="C53" s="44">
        <f>+C51-C52</f>
        <v>-75.555555555555543</v>
      </c>
      <c r="D53" s="44">
        <f t="shared" ref="D53:T53" si="0">+D51-D52</f>
        <v>-75.555555555555543</v>
      </c>
      <c r="E53" s="44">
        <f t="shared" si="0"/>
        <v>-75.555555555555543</v>
      </c>
      <c r="F53" s="46">
        <f t="shared" si="0"/>
        <v>-75.555555555555543</v>
      </c>
      <c r="G53" s="46">
        <f t="shared" si="0"/>
        <v>-1.7777777777777777</v>
      </c>
      <c r="H53" s="46">
        <f t="shared" si="0"/>
        <v>1.851851851851869</v>
      </c>
      <c r="I53" s="46">
        <f t="shared" si="0"/>
        <v>0.43499999999999983</v>
      </c>
      <c r="J53" s="46">
        <f t="shared" ref="J53" si="1">+J51-J52</f>
        <v>0.43499999999999983</v>
      </c>
      <c r="K53" s="46">
        <f t="shared" si="0"/>
        <v>0.43499999999999983</v>
      </c>
      <c r="L53" s="46">
        <f t="shared" si="0"/>
        <v>0.43499999999999983</v>
      </c>
      <c r="M53" s="46">
        <f t="shared" si="0"/>
        <v>0.43499999999999983</v>
      </c>
      <c r="N53" s="46">
        <f t="shared" si="0"/>
        <v>4.2222222222222214</v>
      </c>
      <c r="O53" s="46">
        <f t="shared" si="0"/>
        <v>1.6099999999999996E-2</v>
      </c>
      <c r="P53" s="46">
        <f t="shared" si="0"/>
        <v>7.1400000000000005E-2</v>
      </c>
      <c r="Q53" s="46">
        <f t="shared" si="0"/>
        <v>2.8799999999999992E-2</v>
      </c>
      <c r="R53" s="46">
        <f>+R51-R52</f>
        <v>0.14879999999999999</v>
      </c>
      <c r="S53" s="46">
        <f>+S51-S52</f>
        <v>0.14879999999999999</v>
      </c>
      <c r="T53" s="46">
        <f t="shared" si="0"/>
        <v>0.36800000000000005</v>
      </c>
      <c r="U53" s="46">
        <f t="shared" ref="U53" si="2">+U51-U52</f>
        <v>1.3800000000000001</v>
      </c>
      <c r="V53" s="46">
        <f t="shared" ref="V53:W53" si="3">+V51-V52</f>
        <v>0.7</v>
      </c>
      <c r="W53" s="46">
        <f t="shared" si="3"/>
        <v>0.7</v>
      </c>
    </row>
    <row r="54" spans="1:23" x14ac:dyDescent="0.25">
      <c r="B54" s="44"/>
      <c r="C54" s="44"/>
      <c r="D54" s="44"/>
      <c r="E54" s="44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</row>
    <row r="55" spans="1:23" x14ac:dyDescent="0.25">
      <c r="A55" t="s">
        <v>70</v>
      </c>
      <c r="B55" s="45">
        <f>+B53/B26</f>
        <v>-0.18888888888888886</v>
      </c>
      <c r="C55" s="45">
        <f>+C53/C26</f>
        <v>-0.18888888888888886</v>
      </c>
      <c r="D55" s="45">
        <f>+D53/D26</f>
        <v>-0.18888888888888886</v>
      </c>
      <c r="E55" s="45">
        <f>+E53/E26</f>
        <v>-0.18888888888888886</v>
      </c>
      <c r="F55" s="47">
        <f>+F53/F26</f>
        <v>-0.18888888888888886</v>
      </c>
      <c r="G55" s="47">
        <f>+G53/G26</f>
        <v>-0.22222222222222221</v>
      </c>
      <c r="H55" s="47">
        <f>+H53/H26</f>
        <v>3.7037037037037381E-3</v>
      </c>
      <c r="I55" s="47">
        <f>+I53/I26</f>
        <v>7.2499999999999967E-2</v>
      </c>
      <c r="J55" s="47">
        <f>+J53/J26</f>
        <v>7.2499999999999967E-2</v>
      </c>
      <c r="K55" s="47">
        <f>+K53/K26</f>
        <v>7.2499999999999967E-2</v>
      </c>
      <c r="L55" s="47">
        <f>+L53/L26</f>
        <v>7.2499999999999967E-2</v>
      </c>
      <c r="M55" s="47">
        <f>+M53/M26</f>
        <v>7.2499999999999967E-2</v>
      </c>
      <c r="N55" s="47">
        <f>+N53/N26</f>
        <v>0.42222222222222217</v>
      </c>
      <c r="O55" s="47">
        <f>+O53/O26</f>
        <v>1.6099999999999996E-2</v>
      </c>
      <c r="P55" s="47">
        <f>+P53/P26</f>
        <v>2.3800000000000002E-2</v>
      </c>
      <c r="Q55" s="47">
        <f>+Q53/Q26</f>
        <v>4.7999999999999987E-3</v>
      </c>
      <c r="R55" s="47">
        <f>+R53/R26</f>
        <v>1.24E-2</v>
      </c>
      <c r="S55" s="47">
        <f>+S53/S26</f>
        <v>1.24E-2</v>
      </c>
      <c r="T55" s="47">
        <f>+T53/T26</f>
        <v>4.6000000000000006E-2</v>
      </c>
      <c r="U55" s="47">
        <f>+U53/U26</f>
        <v>4.6000000000000006E-2</v>
      </c>
      <c r="V55" s="47">
        <f>+V53/V26</f>
        <v>2.8E-3</v>
      </c>
      <c r="W55" s="47">
        <f>+W53/W26</f>
        <v>2.8E-3</v>
      </c>
    </row>
    <row r="56" spans="1:23" x14ac:dyDescent="0.25">
      <c r="A56" t="s">
        <v>71</v>
      </c>
      <c r="B56" s="44">
        <f>+B26*B31/B52</f>
        <v>1.5428571428571429</v>
      </c>
      <c r="C56" s="44">
        <f>+C26*C31/C52</f>
        <v>1.5428571428571429</v>
      </c>
      <c r="D56" s="44">
        <f>+D26*D31/D52</f>
        <v>1.5428571428571429</v>
      </c>
      <c r="E56" s="44">
        <f>+E26*E31/E52</f>
        <v>1.5428571428571429</v>
      </c>
      <c r="F56" s="46">
        <f>+F26*F31/F52</f>
        <v>1.5428571428571429</v>
      </c>
      <c r="G56" s="46">
        <f>+G26*G31/G52</f>
        <v>1.2705882352941176</v>
      </c>
      <c r="H56" s="46">
        <f>+H26*H31/H52</f>
        <v>6.2307692307692308</v>
      </c>
      <c r="I56" s="46">
        <f>+I26*I31/I52</f>
        <v>2.4347826086956519</v>
      </c>
      <c r="J56" s="46">
        <f>+J26*J31/J52</f>
        <v>2.4347826086956519</v>
      </c>
      <c r="K56" s="46">
        <f>+K26*K31/K52</f>
        <v>2.4347826086956519</v>
      </c>
      <c r="L56" s="46">
        <f>+L26*L31/L52</f>
        <v>2.4347826086956519</v>
      </c>
      <c r="M56" s="46">
        <f>+M26*M31/M52</f>
        <v>2.4347826086956519</v>
      </c>
      <c r="N56" s="46">
        <f>+N26*N31/N52</f>
        <v>3.3749999999999996</v>
      </c>
      <c r="O56" s="46">
        <f>+O26*O31/O52</f>
        <v>163.265306122449</v>
      </c>
      <c r="P56" s="46">
        <f>+P26*P31/P52</f>
        <v>214.28571428571431</v>
      </c>
      <c r="Q56" s="46">
        <f>+Q26*Q31/Q52</f>
        <v>119.04761904761905</v>
      </c>
      <c r="R56" s="46">
        <f>+R26*R31/R52</f>
        <v>142.85714285714289</v>
      </c>
      <c r="S56" s="46">
        <f>+S26*S31/S52</f>
        <v>142.85714285714289</v>
      </c>
      <c r="T56" s="46">
        <f>+T26*T31/T52</f>
        <v>100</v>
      </c>
      <c r="U56" s="46">
        <f>+U26*U31/U52</f>
        <v>100</v>
      </c>
      <c r="V56" s="46">
        <f>+V26*V31/V52</f>
        <v>470.58823529411768</v>
      </c>
      <c r="W56" s="46">
        <f>+W26*W31/W52</f>
        <v>470.58823529411768</v>
      </c>
    </row>
    <row r="57" spans="1:23" x14ac:dyDescent="0.25">
      <c r="A57" t="s">
        <v>72</v>
      </c>
      <c r="B57" s="44">
        <f>+B26</f>
        <v>400</v>
      </c>
      <c r="C57" s="44">
        <f>+C26</f>
        <v>400</v>
      </c>
      <c r="D57" s="44">
        <f>+D26</f>
        <v>400</v>
      </c>
      <c r="E57" s="44">
        <f>+E26</f>
        <v>400</v>
      </c>
      <c r="F57" s="46">
        <f>+F26</f>
        <v>400</v>
      </c>
      <c r="G57" s="46">
        <f>+G26</f>
        <v>8</v>
      </c>
      <c r="H57" s="46">
        <f>+H26</f>
        <v>500</v>
      </c>
      <c r="I57" s="46">
        <f>+I26</f>
        <v>6</v>
      </c>
      <c r="J57" s="46">
        <f>+J26</f>
        <v>6</v>
      </c>
      <c r="K57" s="46">
        <f>+K26</f>
        <v>6</v>
      </c>
      <c r="L57" s="46">
        <f>+L26</f>
        <v>6</v>
      </c>
      <c r="M57" s="46">
        <f>+M26</f>
        <v>6</v>
      </c>
      <c r="N57" s="46">
        <f>+N26</f>
        <v>10</v>
      </c>
      <c r="O57" s="46">
        <f>+O26</f>
        <v>1</v>
      </c>
      <c r="P57" s="46">
        <f>+P26</f>
        <v>3</v>
      </c>
      <c r="Q57" s="46">
        <f>+Q26</f>
        <v>6</v>
      </c>
      <c r="R57" s="46">
        <f>+R26</f>
        <v>12</v>
      </c>
      <c r="S57" s="46">
        <f>+S26</f>
        <v>12</v>
      </c>
      <c r="T57" s="46">
        <f>+T26</f>
        <v>8</v>
      </c>
      <c r="U57" s="46">
        <f>+U26</f>
        <v>30</v>
      </c>
      <c r="V57" s="46">
        <f>+V26</f>
        <v>250</v>
      </c>
      <c r="W57" s="46">
        <f>+W26</f>
        <v>250</v>
      </c>
    </row>
    <row r="58" spans="1:23" x14ac:dyDescent="0.25">
      <c r="A58" t="s">
        <v>63</v>
      </c>
      <c r="B58" s="44">
        <f>B57*B30/B20</f>
        <v>40</v>
      </c>
      <c r="C58" s="44">
        <f>C57*C30/C20</f>
        <v>40</v>
      </c>
      <c r="D58" s="44">
        <f>D57*D30/D20</f>
        <v>40</v>
      </c>
      <c r="E58" s="44">
        <f>E57*E30/E20</f>
        <v>40</v>
      </c>
      <c r="F58" s="46">
        <f>F57*F30/F20</f>
        <v>40</v>
      </c>
      <c r="G58" s="46">
        <f>G57*G30/G20</f>
        <v>1.6</v>
      </c>
      <c r="H58" s="46">
        <f>H57*H30/H20</f>
        <v>12.5</v>
      </c>
      <c r="I58" s="46">
        <f>I57*I30/I20</f>
        <v>0.30000000000000004</v>
      </c>
      <c r="J58" s="46">
        <f>J57*J30/J20</f>
        <v>0.30000000000000004</v>
      </c>
      <c r="K58" s="46">
        <f>K57*K30/K20</f>
        <v>0.30000000000000004</v>
      </c>
      <c r="L58" s="46">
        <f>L57*L30/L20</f>
        <v>0.30000000000000004</v>
      </c>
      <c r="M58" s="46">
        <f>M57*M30/M20</f>
        <v>0.30000000000000004</v>
      </c>
      <c r="N58" s="46">
        <f>N57*N30/N20</f>
        <v>0.25</v>
      </c>
      <c r="O58" s="46">
        <f>O57*O30/O20</f>
        <v>6.6666666666666666E-2</v>
      </c>
      <c r="P58" s="46">
        <f>P57*P30/P20</f>
        <v>0.20000000000000004</v>
      </c>
      <c r="Q58" s="46">
        <f>Q57*Q30/Q20</f>
        <v>0.89999999999999991</v>
      </c>
      <c r="R58" s="46">
        <f>R57*R30/R20</f>
        <v>1.7999999999999998</v>
      </c>
      <c r="S58" s="46">
        <f>S57*S30/S20</f>
        <v>1.7999999999999998</v>
      </c>
      <c r="T58" s="46">
        <f>T57*T30/T20</f>
        <v>1.2</v>
      </c>
      <c r="U58" s="46">
        <f>U57*U30/U20</f>
        <v>4.5</v>
      </c>
      <c r="V58" s="46">
        <f>V57*V30/V20</f>
        <v>75</v>
      </c>
      <c r="W58" s="46">
        <f>W57*W30/W20</f>
        <v>75</v>
      </c>
    </row>
    <row r="59" spans="1:23" x14ac:dyDescent="0.25">
      <c r="A59" t="s">
        <v>74</v>
      </c>
      <c r="B59" s="44">
        <f t="shared" ref="B59:Q59" si="4">+(B57-B58)/B53</f>
        <v>-4.764705882352942</v>
      </c>
      <c r="C59" s="44">
        <f t="shared" ref="C59" si="5">+(C57-C58)/C53</f>
        <v>-4.764705882352942</v>
      </c>
      <c r="D59" s="44">
        <f t="shared" si="4"/>
        <v>-4.764705882352942</v>
      </c>
      <c r="E59" s="44">
        <f t="shared" si="4"/>
        <v>-4.764705882352942</v>
      </c>
      <c r="F59" s="44">
        <f t="shared" si="4"/>
        <v>-4.764705882352942</v>
      </c>
      <c r="G59" s="44">
        <f t="shared" si="4"/>
        <v>-3.6000000000000005</v>
      </c>
      <c r="H59" s="44">
        <f t="shared" si="4"/>
        <v>263.24999999999756</v>
      </c>
      <c r="I59" s="44">
        <f t="shared" si="4"/>
        <v>13.103448275862075</v>
      </c>
      <c r="J59" s="44">
        <f t="shared" ref="J59" si="6">+(J57-J58)/J53</f>
        <v>13.103448275862075</v>
      </c>
      <c r="K59" s="44">
        <f t="shared" si="4"/>
        <v>13.103448275862075</v>
      </c>
      <c r="L59" s="44">
        <f t="shared" si="4"/>
        <v>13.103448275862075</v>
      </c>
      <c r="M59" s="44">
        <f t="shared" si="4"/>
        <v>13.103448275862075</v>
      </c>
      <c r="N59" s="44">
        <f t="shared" si="4"/>
        <v>2.3092105263157898</v>
      </c>
      <c r="O59" s="44">
        <f t="shared" si="4"/>
        <v>57.971014492753639</v>
      </c>
      <c r="P59" s="44">
        <f t="shared" si="4"/>
        <v>39.2156862745098</v>
      </c>
      <c r="Q59" s="44">
        <f t="shared" si="4"/>
        <v>177.08333333333337</v>
      </c>
      <c r="R59" s="44">
        <f>+(R57-R58)/R53</f>
        <v>68.548387096774192</v>
      </c>
      <c r="S59" s="44">
        <f>+(S57-S58)/S53</f>
        <v>68.548387096774192</v>
      </c>
      <c r="T59" s="44">
        <f>+(T57-T58)/T53</f>
        <v>18.478260869565215</v>
      </c>
      <c r="U59" s="44">
        <f>+(U57-U58)/U53</f>
        <v>18.478260869565215</v>
      </c>
      <c r="V59" s="44">
        <f t="shared" ref="V59:W59" si="7">+(V57-V58)/V53</f>
        <v>250.00000000000003</v>
      </c>
      <c r="W59" s="44">
        <f t="shared" si="7"/>
        <v>250.00000000000003</v>
      </c>
    </row>
    <row r="60" spans="1:23" x14ac:dyDescent="0.25"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</row>
    <row r="61" spans="1:23" x14ac:dyDescent="0.25">
      <c r="F61" s="48"/>
      <c r="G61" s="48"/>
      <c r="H61" s="48"/>
      <c r="I61" s="48" t="s">
        <v>52</v>
      </c>
      <c r="J61" s="48" t="s">
        <v>52</v>
      </c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</row>
    <row r="62" spans="1:23" x14ac:dyDescent="0.25">
      <c r="A62" t="s">
        <v>62</v>
      </c>
      <c r="B62">
        <f>+B26*(1+B30)*1.1</f>
        <v>484.00000000000011</v>
      </c>
      <c r="C62">
        <f>+C26*(1+C30)*1.1</f>
        <v>484.00000000000011</v>
      </c>
      <c r="D62">
        <f t="shared" ref="D62:T62" si="8">+D26*(1+D30)*1.1</f>
        <v>484.00000000000011</v>
      </c>
      <c r="E62">
        <f t="shared" si="8"/>
        <v>484.00000000000011</v>
      </c>
      <c r="F62">
        <f t="shared" si="8"/>
        <v>484.00000000000011</v>
      </c>
      <c r="G62">
        <f t="shared" si="8"/>
        <v>10.56</v>
      </c>
      <c r="H62">
        <f t="shared" si="8"/>
        <v>605</v>
      </c>
      <c r="I62">
        <f t="shared" si="8"/>
        <v>7.2600000000000016</v>
      </c>
      <c r="J62">
        <f t="shared" ref="J62" si="9">+J26*(1+J30)*1.1</f>
        <v>7.2600000000000016</v>
      </c>
      <c r="K62">
        <f t="shared" si="8"/>
        <v>7.2600000000000016</v>
      </c>
      <c r="L62">
        <f t="shared" si="8"/>
        <v>7.2600000000000016</v>
      </c>
      <c r="M62">
        <f t="shared" si="8"/>
        <v>7.2600000000000016</v>
      </c>
      <c r="N62">
        <f t="shared" si="8"/>
        <v>12.100000000000001</v>
      </c>
      <c r="O62">
        <f t="shared" si="8"/>
        <v>1.32</v>
      </c>
      <c r="P62">
        <f t="shared" si="8"/>
        <v>3.96</v>
      </c>
      <c r="Q62">
        <f t="shared" si="8"/>
        <v>8.5800000000000018</v>
      </c>
      <c r="R62">
        <f>+R26*(1+R30)*1.1</f>
        <v>17.160000000000004</v>
      </c>
      <c r="S62">
        <f>+S26*(1+S30)*1.1</f>
        <v>17.160000000000004</v>
      </c>
      <c r="T62">
        <f t="shared" si="8"/>
        <v>11.440000000000001</v>
      </c>
      <c r="U62">
        <f t="shared" ref="U62" si="10">+U26*(1+U30)*1.1</f>
        <v>42.900000000000006</v>
      </c>
      <c r="V62">
        <f t="shared" ref="V62:W62" si="11">+V26*(1+V30)*1.1</f>
        <v>357.50000000000006</v>
      </c>
      <c r="W62">
        <f t="shared" si="11"/>
        <v>357.50000000000006</v>
      </c>
    </row>
    <row r="63" spans="1:23" x14ac:dyDescent="0.25">
      <c r="A63" t="s">
        <v>63</v>
      </c>
      <c r="B63" s="50">
        <f t="shared" ref="B63:V63" si="12">+B26*B30/B20</f>
        <v>40</v>
      </c>
      <c r="C63" s="50">
        <f t="shared" ref="C63" si="13">+C26*C30/C20</f>
        <v>40</v>
      </c>
      <c r="D63" s="50">
        <f t="shared" si="12"/>
        <v>40</v>
      </c>
      <c r="E63" s="50">
        <f t="shared" si="12"/>
        <v>40</v>
      </c>
      <c r="F63" s="50">
        <f t="shared" si="12"/>
        <v>40</v>
      </c>
      <c r="G63" s="50">
        <f t="shared" si="12"/>
        <v>1.6</v>
      </c>
      <c r="H63" s="50">
        <f t="shared" si="12"/>
        <v>12.5</v>
      </c>
      <c r="I63" s="50">
        <f t="shared" si="12"/>
        <v>0.30000000000000004</v>
      </c>
      <c r="J63" s="50">
        <f t="shared" ref="J63" si="14">+J26*J30/J20</f>
        <v>0.30000000000000004</v>
      </c>
      <c r="K63" s="50">
        <f t="shared" si="12"/>
        <v>0.30000000000000004</v>
      </c>
      <c r="L63" s="50">
        <f t="shared" si="12"/>
        <v>0.30000000000000004</v>
      </c>
      <c r="M63" s="50">
        <f t="shared" si="12"/>
        <v>0.30000000000000004</v>
      </c>
      <c r="N63" s="50">
        <f t="shared" si="12"/>
        <v>0.25</v>
      </c>
      <c r="O63" s="50">
        <f t="shared" si="12"/>
        <v>6.6666666666666666E-2</v>
      </c>
      <c r="P63" s="50">
        <f t="shared" si="12"/>
        <v>0.20000000000000004</v>
      </c>
      <c r="Q63" s="50">
        <f t="shared" si="12"/>
        <v>0.89999999999999991</v>
      </c>
      <c r="R63" s="50">
        <f>+R26*R30/R20</f>
        <v>1.7999999999999998</v>
      </c>
      <c r="S63" s="50">
        <f>+S26*S30/S20</f>
        <v>1.7999999999999998</v>
      </c>
      <c r="T63" s="50">
        <f t="shared" si="12"/>
        <v>1.2</v>
      </c>
      <c r="U63" s="50">
        <f t="shared" ref="U63" si="15">+U26*U30/U20</f>
        <v>4.5</v>
      </c>
      <c r="V63" s="50">
        <f t="shared" si="12"/>
        <v>75</v>
      </c>
      <c r="W63" s="50">
        <f t="shared" ref="W63" si="16">+W26*W30/W20</f>
        <v>75</v>
      </c>
    </row>
    <row r="65" spans="1:23" x14ac:dyDescent="0.25">
      <c r="A65" t="s">
        <v>89</v>
      </c>
      <c r="B65" s="53">
        <f t="shared" ref="B65:W65" si="17">+B26/B15</f>
        <v>1.8181818181818181</v>
      </c>
      <c r="C65" s="53">
        <f t="shared" si="17"/>
        <v>1.8181818181818181</v>
      </c>
      <c r="D65" s="53">
        <f t="shared" si="17"/>
        <v>1.8181818181818181</v>
      </c>
      <c r="E65" s="53">
        <f t="shared" si="17"/>
        <v>1.8181818181818181</v>
      </c>
      <c r="F65" s="53">
        <f t="shared" si="17"/>
        <v>1.8181818181818181</v>
      </c>
      <c r="G65" s="53">
        <f t="shared" si="17"/>
        <v>0.2</v>
      </c>
      <c r="H65" s="53">
        <f t="shared" si="17"/>
        <v>1.4285714285714286</v>
      </c>
      <c r="I65" s="53">
        <f t="shared" si="17"/>
        <v>0.4</v>
      </c>
      <c r="J65" s="53">
        <f t="shared" ref="J65" si="18">+J26/J15</f>
        <v>0.4</v>
      </c>
      <c r="K65" s="53">
        <f t="shared" si="17"/>
        <v>0.4</v>
      </c>
      <c r="L65" s="53">
        <f t="shared" si="17"/>
        <v>0.4</v>
      </c>
      <c r="M65" s="53">
        <f t="shared" si="17"/>
        <v>0.4</v>
      </c>
      <c r="N65" s="53">
        <f t="shared" si="17"/>
        <v>2</v>
      </c>
      <c r="O65" s="53">
        <f t="shared" si="17"/>
        <v>0.2</v>
      </c>
      <c r="P65" s="53">
        <f t="shared" si="17"/>
        <v>0.6</v>
      </c>
      <c r="Q65" s="53">
        <f t="shared" si="17"/>
        <v>0.6</v>
      </c>
      <c r="R65" s="53">
        <f t="shared" si="17"/>
        <v>0.4</v>
      </c>
      <c r="S65" s="53">
        <f t="shared" si="17"/>
        <v>0.5</v>
      </c>
      <c r="T65" s="53">
        <f t="shared" si="17"/>
        <v>0.53333333333333333</v>
      </c>
      <c r="U65" s="53">
        <f t="shared" ref="U65" si="19">+U26/U15</f>
        <v>0.5</v>
      </c>
      <c r="V65" s="53">
        <f t="shared" si="17"/>
        <v>0.52083333333333337</v>
      </c>
      <c r="W65" s="53">
        <f t="shared" si="17"/>
        <v>0.52083333333333337</v>
      </c>
    </row>
  </sheetData>
  <conditionalFormatting sqref="M7">
    <cfRule type="duplicateValues" dxfId="18" priority="122"/>
  </conditionalFormatting>
  <conditionalFormatting sqref="J7">
    <cfRule type="duplicateValues" dxfId="17" priority="134"/>
  </conditionalFormatting>
  <conditionalFormatting sqref="K7">
    <cfRule type="duplicateValues" dxfId="16" priority="146"/>
  </conditionalFormatting>
  <conditionalFormatting sqref="L7">
    <cfRule type="duplicateValues" dxfId="15" priority="148"/>
  </conditionalFormatting>
  <conditionalFormatting sqref="V21:W21 B21 N21:T21 G21:I2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2:W22 B22 N22:T22 G22:I22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:W26 B26 N26:T26 G26:I2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{61C36302-3A6A-4547-8538-F079A8D14F1C}</x14:id>
        </ext>
      </extLst>
    </cfRule>
  </conditionalFormatting>
  <conditionalFormatting sqref="B27:B28 V27:W28 N27:T28 G27:I28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{A7C028B2-B152-4FDB-968B-AB1A3FB3A73B}</x14:id>
        </ext>
      </extLst>
    </cfRule>
  </conditionalFormatting>
  <conditionalFormatting sqref="V20:W20 B20 N20:T20 G20:I20">
    <cfRule type="dataBar" priority="5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{FE1C2B79-0604-41C7-9207-14D076B50904}</x14:id>
        </ext>
      </extLst>
    </cfRule>
  </conditionalFormatting>
  <conditionalFormatting sqref="U2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{A086487D-EF4C-4907-9C4C-42CB13C1DBB2}</x14:id>
        </ext>
      </extLst>
    </cfRule>
  </conditionalFormatting>
  <conditionalFormatting sqref="U27:U28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{8AA208C8-54C9-4117-838C-ECBAB547B6CD}</x14:id>
        </ext>
      </extLst>
    </cfRule>
  </conditionalFormatting>
  <conditionalFormatting sqref="U20">
    <cfRule type="dataBar" priority="4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{F1AFC1A5-FBDD-41BF-B819-21B4A9F9EB7B}</x14:id>
        </ext>
      </extLst>
    </cfRule>
  </conditionalFormatting>
  <conditionalFormatting sqref="O7">
    <cfRule type="duplicateValues" dxfId="14" priority="155"/>
  </conditionalFormatting>
  <conditionalFormatting sqref="T7">
    <cfRule type="duplicateValues" dxfId="13" priority="156"/>
  </conditionalFormatting>
  <conditionalFormatting sqref="G7">
    <cfRule type="duplicateValues" dxfId="12" priority="157"/>
  </conditionalFormatting>
  <conditionalFormatting sqref="E7">
    <cfRule type="duplicateValues" dxfId="11" priority="158"/>
  </conditionalFormatting>
  <conditionalFormatting sqref="D7">
    <cfRule type="duplicateValues" dxfId="10" priority="159"/>
  </conditionalFormatting>
  <conditionalFormatting sqref="H7">
    <cfRule type="duplicateValues" dxfId="9" priority="160"/>
  </conditionalFormatting>
  <conditionalFormatting sqref="P7">
    <cfRule type="duplicateValues" dxfId="8" priority="161"/>
  </conditionalFormatting>
  <conditionalFormatting sqref="Q7">
    <cfRule type="duplicateValues" dxfId="7" priority="162"/>
  </conditionalFormatting>
  <conditionalFormatting sqref="V7">
    <cfRule type="duplicateValues" dxfId="6" priority="163"/>
  </conditionalFormatting>
  <conditionalFormatting sqref="I7 N7 R7 B7 F7 D7">
    <cfRule type="duplicateValues" dxfId="5" priority="164"/>
  </conditionalFormatting>
  <conditionalFormatting sqref="N7:O7 F7:G7 I7 B7 R7 D7 T7">
    <cfRule type="duplicateValues" dxfId="4" priority="170"/>
  </conditionalFormatting>
  <conditionalFormatting sqref="C7">
    <cfRule type="duplicateValues" dxfId="3" priority="177"/>
  </conditionalFormatting>
  <conditionalFormatting sqref="S7">
    <cfRule type="duplicateValues" dxfId="2" priority="178"/>
  </conditionalFormatting>
  <conditionalFormatting sqref="W7">
    <cfRule type="duplicateValues" dxfId="1" priority="179"/>
  </conditionalFormatting>
  <conditionalFormatting sqref="U7">
    <cfRule type="duplicateValues" dxfId="0" priority="180"/>
  </conditionalFormatting>
  <conditionalFormatting sqref="J2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{3789A30E-2947-49FD-8EB5-B35C8E04551C}</x14:id>
        </ext>
      </extLst>
    </cfRule>
  </conditionalFormatting>
  <conditionalFormatting sqref="J27:J28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{D0AE8D08-E65C-4019-9C90-BFC58555C895}</x14:id>
        </ext>
      </extLst>
    </cfRule>
  </conditionalFormatting>
  <conditionalFormatting sqref="J20">
    <cfRule type="dataBar" priority="3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{6294AC46-D45D-4C7B-AA3E-3138F42F4BE5}</x14:id>
        </ext>
      </extLst>
    </cfRule>
  </conditionalFormatting>
  <conditionalFormatting sqref="K2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{CD8B6E00-8DFD-4F68-875D-0FBD8CA31284}</x14:id>
        </ext>
      </extLst>
    </cfRule>
  </conditionalFormatting>
  <conditionalFormatting sqref="K27:K28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{2D8E248D-B17A-44A5-A275-1E938DD315D1}</x14:id>
        </ext>
      </extLst>
    </cfRule>
  </conditionalFormatting>
  <conditionalFormatting sqref="K20">
    <cfRule type="dataBar" priority="3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{A11A00B3-216C-4A51-A1BE-F6F7F285C5A8}</x14:id>
        </ext>
      </extLst>
    </cfRule>
  </conditionalFormatting>
  <conditionalFormatting sqref="L2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{928FB704-FAA1-45D1-9256-82F4FD464242}</x14:id>
        </ext>
      </extLst>
    </cfRule>
  </conditionalFormatting>
  <conditionalFormatting sqref="L27:L28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{06249649-EAF8-47BE-AC02-319AF58C1255}</x14:id>
        </ext>
      </extLst>
    </cfRule>
  </conditionalFormatting>
  <conditionalFormatting sqref="L20">
    <cfRule type="dataBar" priority="2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{B36C10C8-1954-4B38-BD08-BD9AAD2C1304}</x14:id>
        </ext>
      </extLst>
    </cfRule>
  </conditionalFormatting>
  <conditionalFormatting sqref="M2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{BBF57F90-1E76-4DE4-A000-20C00F5DBBF8}</x14:id>
        </ext>
      </extLst>
    </cfRule>
  </conditionalFormatting>
  <conditionalFormatting sqref="M27:M28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{60FA843E-7AAA-403B-A210-C8E43313E636}</x14:id>
        </ext>
      </extLst>
    </cfRule>
  </conditionalFormatting>
  <conditionalFormatting sqref="M20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{82F47ED6-55C0-480B-A4D3-AE8A6B7E7497}</x14:id>
        </ext>
      </extLst>
    </cfRule>
  </conditionalFormatting>
  <conditionalFormatting sqref="C2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{08BFA530-196E-460E-90A1-8070986E1592}</x14:id>
        </ext>
      </extLst>
    </cfRule>
  </conditionalFormatting>
  <conditionalFormatting sqref="C27:C28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{4AF2E8FD-0C60-4D05-A58F-83C89BE727D7}</x14:id>
        </ext>
      </extLst>
    </cfRule>
  </conditionalFormatting>
  <conditionalFormatting sqref="C20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{3DF7ABEF-231C-491B-8130-8B271FB108AF}</x14:id>
        </ext>
      </extLst>
    </cfRule>
  </conditionalFormatting>
  <conditionalFormatting sqref="D2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{3548B0E6-DBE3-4F52-AEC4-8F2916D32922}</x14:id>
        </ext>
      </extLst>
    </cfRule>
  </conditionalFormatting>
  <conditionalFormatting sqref="D27:D28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{F761185D-0A60-4276-868A-6DF37434ABBF}</x14:id>
        </ext>
      </extLst>
    </cfRule>
  </conditionalFormatting>
  <conditionalFormatting sqref="D20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{72EAEE71-E924-433D-A819-3D9EDC8D88C3}</x14:id>
        </ext>
      </extLst>
    </cfRule>
  </conditionalFormatting>
  <conditionalFormatting sqref="E2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{FAFD60E0-81D6-4705-940C-469E950BBE36}</x14:id>
        </ext>
      </extLst>
    </cfRule>
  </conditionalFormatting>
  <conditionalFormatting sqref="E27:E28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{BE836CE9-1654-47FD-AECD-08E437D6AD4F}</x14:id>
        </ext>
      </extLst>
    </cfRule>
  </conditionalFormatting>
  <conditionalFormatting sqref="E20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{5EC2AF29-2F42-4191-BBC5-A2206D3A0B41}</x14:id>
        </ext>
      </extLst>
    </cfRule>
  </conditionalFormatting>
  <conditionalFormatting sqref="F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{3D200E92-0DD4-4849-ACBF-B1550BD41245}</x14:id>
        </ext>
      </extLst>
    </cfRule>
  </conditionalFormatting>
  <conditionalFormatting sqref="F27:F2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{105F2DE1-1025-4E6F-B97B-578EE07FF4E9}</x14:id>
        </ext>
      </extLst>
    </cfRule>
  </conditionalFormatting>
  <conditionalFormatting sqref="F20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{0B631F3E-0F30-4546-9A3F-53D49263C31F}</x14:id>
        </ext>
      </extLs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C36302-3A6A-4547-8538-F079A8D14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V26:W26 B26 N26:T26 G26:I26</xm:sqref>
        </x14:conditionalFormatting>
        <x14:conditionalFormatting xmlns:xm="http://schemas.microsoft.com/office/excel/2006/main">
          <x14:cfRule type="dataBar" id="{A7C028B2-B152-4FDB-968B-AB1A3FB3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B27:B28 V27:W28 N27:T28 G27:I28</xm:sqref>
        </x14:conditionalFormatting>
        <x14:conditionalFormatting xmlns:xm="http://schemas.microsoft.com/office/excel/2006/main">
          <x14:cfRule type="dataBar" id="{FE1C2B79-0604-41C7-9207-14D076B509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V20:W20 B20 N20:T20 G20:I20</xm:sqref>
        </x14:conditionalFormatting>
        <x14:conditionalFormatting xmlns:xm="http://schemas.microsoft.com/office/excel/2006/main">
          <x14:cfRule type="dataBar" id="{A086487D-EF4C-4907-9C4C-42CB13C1D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8AA208C8-54C9-4117-838C-ECBAB547B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F1AFC1A5-FBDD-41BF-B819-21B4A9F9EB7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3789A30E-2947-49FD-8EB5-B35C8E0455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J26</xm:sqref>
        </x14:conditionalFormatting>
        <x14:conditionalFormatting xmlns:xm="http://schemas.microsoft.com/office/excel/2006/main">
          <x14:cfRule type="dataBar" id="{D0AE8D08-E65C-4019-9C90-BFC58555C8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J27:J28</xm:sqref>
        </x14:conditionalFormatting>
        <x14:conditionalFormatting xmlns:xm="http://schemas.microsoft.com/office/excel/2006/main">
          <x14:cfRule type="dataBar" id="{6294AC46-D45D-4C7B-AA3E-3138F42F4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CD8B6E00-8DFD-4F68-875D-0FBD8CA312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K26</xm:sqref>
        </x14:conditionalFormatting>
        <x14:conditionalFormatting xmlns:xm="http://schemas.microsoft.com/office/excel/2006/main">
          <x14:cfRule type="dataBar" id="{2D8E248D-B17A-44A5-A275-1E938DD315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K27:K28</xm:sqref>
        </x14:conditionalFormatting>
        <x14:conditionalFormatting xmlns:xm="http://schemas.microsoft.com/office/excel/2006/main">
          <x14:cfRule type="dataBar" id="{A11A00B3-216C-4A51-A1BE-F6F7F285C5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928FB704-FAA1-45D1-9256-82F4FD464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06249649-EAF8-47BE-AC02-319AF58C12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L27:L28</xm:sqref>
        </x14:conditionalFormatting>
        <x14:conditionalFormatting xmlns:xm="http://schemas.microsoft.com/office/excel/2006/main">
          <x14:cfRule type="dataBar" id="{B36C10C8-1954-4B38-BD08-BD9AAD2C13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BBF57F90-1E76-4DE4-A000-20C00F5DBB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60FA843E-7AAA-403B-A210-C8E43313E6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M27:M28</xm:sqref>
        </x14:conditionalFormatting>
        <x14:conditionalFormatting xmlns:xm="http://schemas.microsoft.com/office/excel/2006/main">
          <x14:cfRule type="dataBar" id="{82F47ED6-55C0-480B-A4D3-AE8A6B7E749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08BFA530-196E-460E-90A1-8070986E15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C26</xm:sqref>
        </x14:conditionalFormatting>
        <x14:conditionalFormatting xmlns:xm="http://schemas.microsoft.com/office/excel/2006/main">
          <x14:cfRule type="dataBar" id="{4AF2E8FD-0C60-4D05-A58F-83C89BE727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C27:C28</xm:sqref>
        </x14:conditionalFormatting>
        <x14:conditionalFormatting xmlns:xm="http://schemas.microsoft.com/office/excel/2006/main">
          <x14:cfRule type="dataBar" id="{3DF7ABEF-231C-491B-8130-8B271FB108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C20</xm:sqref>
        </x14:conditionalFormatting>
        <x14:conditionalFormatting xmlns:xm="http://schemas.microsoft.com/office/excel/2006/main">
          <x14:cfRule type="dataBar" id="{3548B0E6-DBE3-4F52-AEC4-8F2916D329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</xm:sqref>
        </x14:conditionalFormatting>
        <x14:conditionalFormatting xmlns:xm="http://schemas.microsoft.com/office/excel/2006/main">
          <x14:cfRule type="dataBar" id="{F761185D-0A60-4276-868A-6DF37434AB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D27:D28</xm:sqref>
        </x14:conditionalFormatting>
        <x14:conditionalFormatting xmlns:xm="http://schemas.microsoft.com/office/excel/2006/main">
          <x14:cfRule type="dataBar" id="{72EAEE71-E924-433D-A819-3D9EDC8D88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FAFD60E0-81D6-4705-940C-469E950BBE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E26</xm:sqref>
        </x14:conditionalFormatting>
        <x14:conditionalFormatting xmlns:xm="http://schemas.microsoft.com/office/excel/2006/main">
          <x14:cfRule type="dataBar" id="{BE836CE9-1654-47FD-AECD-08E437D6A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E27:E28</xm:sqref>
        </x14:conditionalFormatting>
        <x14:conditionalFormatting xmlns:xm="http://schemas.microsoft.com/office/excel/2006/main">
          <x14:cfRule type="dataBar" id="{5EC2AF29-2F42-4191-BBC5-A2206D3A0B4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3D200E92-0DD4-4849-ACBF-B1550BD412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105F2DE1-1025-4E6F-B97B-578EE07FF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F27:F28</xm:sqref>
        </x14:conditionalFormatting>
        <x14:conditionalFormatting xmlns:xm="http://schemas.microsoft.com/office/excel/2006/main">
          <x14:cfRule type="dataBar" id="{0B631F3E-0F30-4546-9A3F-53D49263C31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2DCFE51-E5A0-46C0-BA78-677466E1BE10}">
          <x14:formula1>
            <xm:f>Tables!$A$37:$A$40</xm:f>
          </x14:formula1>
          <xm:sqref>B5:W5</xm:sqref>
        </x14:dataValidation>
        <x14:dataValidation type="list" allowBlank="1" showInputMessage="1" showErrorMessage="1" xr:uid="{B3D47E63-4CCF-498A-86C2-6290C49D352E}">
          <x14:formula1>
            <xm:f>Tables!$A$4:$A$31</xm:f>
          </x14:formula1>
          <xm:sqref>B9:W9 B7:W7</xm:sqref>
        </x14:dataValidation>
        <x14:dataValidation type="list" allowBlank="1" showInputMessage="1" showErrorMessage="1" xr:uid="{D216311E-5B6A-4C70-909E-8209732DFE29}">
          <x14:formula1>
            <xm:f>Tables!$A$44:$A$54</xm:f>
          </x14:formula1>
          <xm:sqref>B10:W10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E54"/>
  <sheetViews>
    <sheetView workbookViewId="0">
      <selection activeCell="A4" sqref="A4:B31"/>
    </sheetView>
  </sheetViews>
  <sheetFormatPr baseColWidth="10" defaultRowHeight="15" x14ac:dyDescent="0.25"/>
  <cols>
    <col min="1" max="1" width="23.28515625" customWidth="1"/>
    <col min="2" max="2" width="14.85546875" customWidth="1"/>
  </cols>
  <sheetData>
    <row r="4" spans="1:3" x14ac:dyDescent="0.25">
      <c r="A4" t="s">
        <v>3</v>
      </c>
      <c r="B4" t="s">
        <v>4</v>
      </c>
    </row>
    <row r="5" spans="1:3" x14ac:dyDescent="0.25">
      <c r="A5" t="s">
        <v>9</v>
      </c>
      <c r="B5">
        <v>0</v>
      </c>
      <c r="C5" t="s">
        <v>2</v>
      </c>
    </row>
    <row r="6" spans="1:3" x14ac:dyDescent="0.25">
      <c r="A6" t="s">
        <v>118</v>
      </c>
      <c r="B6">
        <v>1</v>
      </c>
    </row>
    <row r="7" spans="1:3" x14ac:dyDescent="0.25">
      <c r="A7" t="s">
        <v>119</v>
      </c>
      <c r="B7">
        <v>2</v>
      </c>
    </row>
    <row r="8" spans="1:3" x14ac:dyDescent="0.25">
      <c r="A8" t="s">
        <v>120</v>
      </c>
      <c r="B8">
        <v>3</v>
      </c>
    </row>
    <row r="9" spans="1:3" x14ac:dyDescent="0.25">
      <c r="A9" t="s">
        <v>121</v>
      </c>
      <c r="B9">
        <v>4</v>
      </c>
    </row>
    <row r="10" spans="1:3" x14ac:dyDescent="0.25">
      <c r="A10" t="s">
        <v>122</v>
      </c>
      <c r="B10">
        <v>5</v>
      </c>
    </row>
    <row r="11" spans="1:3" x14ac:dyDescent="0.25">
      <c r="A11" t="s">
        <v>123</v>
      </c>
      <c r="B11">
        <v>6</v>
      </c>
    </row>
    <row r="12" spans="1:3" x14ac:dyDescent="0.25">
      <c r="A12" t="s">
        <v>124</v>
      </c>
      <c r="B12">
        <v>7</v>
      </c>
    </row>
    <row r="13" spans="1:3" x14ac:dyDescent="0.25">
      <c r="A13" t="s">
        <v>125</v>
      </c>
      <c r="B13">
        <v>8</v>
      </c>
    </row>
    <row r="14" spans="1:3" x14ac:dyDescent="0.25">
      <c r="A14" t="s">
        <v>126</v>
      </c>
      <c r="B14">
        <v>9</v>
      </c>
    </row>
    <row r="15" spans="1:3" x14ac:dyDescent="0.25">
      <c r="A15" t="s">
        <v>127</v>
      </c>
      <c r="B15">
        <v>10</v>
      </c>
    </row>
    <row r="16" spans="1:3" x14ac:dyDescent="0.25">
      <c r="A16" t="s">
        <v>128</v>
      </c>
      <c r="B16">
        <v>11</v>
      </c>
    </row>
    <row r="17" spans="1:2" x14ac:dyDescent="0.25">
      <c r="A17" t="s">
        <v>129</v>
      </c>
      <c r="B17">
        <v>12</v>
      </c>
    </row>
    <row r="18" spans="1:2" x14ac:dyDescent="0.25">
      <c r="A18" t="s">
        <v>130</v>
      </c>
      <c r="B18">
        <v>13</v>
      </c>
    </row>
    <row r="19" spans="1:2" x14ac:dyDescent="0.25">
      <c r="A19" t="s">
        <v>131</v>
      </c>
      <c r="B19">
        <v>14</v>
      </c>
    </row>
    <row r="20" spans="1:2" x14ac:dyDescent="0.25">
      <c r="A20" t="s">
        <v>132</v>
      </c>
      <c r="B20">
        <v>15</v>
      </c>
    </row>
    <row r="21" spans="1:2" x14ac:dyDescent="0.25">
      <c r="A21" t="s">
        <v>133</v>
      </c>
      <c r="B21">
        <v>16</v>
      </c>
    </row>
    <row r="22" spans="1:2" x14ac:dyDescent="0.25">
      <c r="A22" t="s">
        <v>134</v>
      </c>
      <c r="B22">
        <v>17</v>
      </c>
    </row>
    <row r="23" spans="1:2" x14ac:dyDescent="0.25">
      <c r="A23" t="s">
        <v>135</v>
      </c>
      <c r="B23">
        <v>18</v>
      </c>
    </row>
    <row r="24" spans="1:2" x14ac:dyDescent="0.25">
      <c r="A24" t="s">
        <v>136</v>
      </c>
      <c r="B24">
        <v>19</v>
      </c>
    </row>
    <row r="25" spans="1:2" x14ac:dyDescent="0.25">
      <c r="A25" t="s">
        <v>137</v>
      </c>
      <c r="B25">
        <v>20</v>
      </c>
    </row>
    <row r="26" spans="1:2" x14ac:dyDescent="0.25">
      <c r="A26" t="s">
        <v>138</v>
      </c>
      <c r="B26">
        <v>21</v>
      </c>
    </row>
    <row r="27" spans="1:2" x14ac:dyDescent="0.25">
      <c r="A27" t="s">
        <v>139</v>
      </c>
      <c r="B27">
        <v>22</v>
      </c>
    </row>
    <row r="30" spans="1:2" x14ac:dyDescent="0.25">
      <c r="A30" t="s">
        <v>59</v>
      </c>
    </row>
    <row r="31" spans="1:2" x14ac:dyDescent="0.25">
      <c r="A31" s="6" t="s">
        <v>58</v>
      </c>
      <c r="B31">
        <v>99</v>
      </c>
    </row>
    <row r="37" spans="1:4" x14ac:dyDescent="0.25">
      <c r="A37" t="s">
        <v>6</v>
      </c>
      <c r="B37" t="s">
        <v>4</v>
      </c>
    </row>
    <row r="38" spans="1:4" x14ac:dyDescent="0.25">
      <c r="A38" t="s">
        <v>7</v>
      </c>
      <c r="B38">
        <v>0</v>
      </c>
    </row>
    <row r="39" spans="1:4" x14ac:dyDescent="0.25">
      <c r="A39" t="s">
        <v>8</v>
      </c>
      <c r="B39">
        <v>1</v>
      </c>
    </row>
    <row r="40" spans="1:4" x14ac:dyDescent="0.25">
      <c r="A40" t="s">
        <v>5</v>
      </c>
      <c r="B40">
        <v>2</v>
      </c>
    </row>
    <row r="43" spans="1:4" x14ac:dyDescent="0.25">
      <c r="D43" t="s">
        <v>108</v>
      </c>
    </row>
    <row r="44" spans="1:4" ht="15.75" thickBot="1" x14ac:dyDescent="0.3">
      <c r="A44" s="55" t="s">
        <v>96</v>
      </c>
      <c r="B44" s="58" t="s">
        <v>106</v>
      </c>
      <c r="C44" t="s">
        <v>107</v>
      </c>
      <c r="D44">
        <v>10</v>
      </c>
    </row>
    <row r="45" spans="1:4" ht="15.75" thickBot="1" x14ac:dyDescent="0.3">
      <c r="A45" s="56" t="s">
        <v>97</v>
      </c>
      <c r="B45" s="59">
        <v>1</v>
      </c>
      <c r="C45">
        <v>0.1</v>
      </c>
      <c r="D45" s="18">
        <f>+$D$44/Tabla2[[#This Row],[family_area]]</f>
        <v>10</v>
      </c>
    </row>
    <row r="46" spans="1:4" ht="15.75" thickBot="1" x14ac:dyDescent="0.3">
      <c r="A46" s="56" t="s">
        <v>98</v>
      </c>
      <c r="B46" s="59">
        <v>2</v>
      </c>
      <c r="C46">
        <v>0.3</v>
      </c>
      <c r="D46" s="18">
        <f>+$D$44/Tabla2[[#This Row],[family_area]]</f>
        <v>5</v>
      </c>
    </row>
    <row r="47" spans="1:4" ht="15.75" thickBot="1" x14ac:dyDescent="0.3">
      <c r="A47" s="56" t="s">
        <v>99</v>
      </c>
      <c r="B47" s="59">
        <v>3</v>
      </c>
      <c r="C47">
        <v>0.5</v>
      </c>
      <c r="D47" s="18">
        <f>+$D$44/Tabla2[[#This Row],[family_area]]</f>
        <v>3.3333333333333335</v>
      </c>
    </row>
    <row r="48" spans="1:4" ht="15.75" thickBot="1" x14ac:dyDescent="0.3">
      <c r="A48" s="56" t="s">
        <v>100</v>
      </c>
      <c r="B48" s="59">
        <v>4</v>
      </c>
      <c r="C48">
        <v>1</v>
      </c>
      <c r="D48" s="18">
        <f>+$D$44/Tabla2[[#This Row],[family_area]]</f>
        <v>2.5</v>
      </c>
    </row>
    <row r="49" spans="1:5" ht="15.75" thickBot="1" x14ac:dyDescent="0.3">
      <c r="A49" s="56" t="s">
        <v>101</v>
      </c>
      <c r="B49" s="59">
        <v>0.1</v>
      </c>
      <c r="C49">
        <v>0.1</v>
      </c>
      <c r="D49" s="18">
        <f>+$D$44/Tabla2[[#This Row],[family_area]]</f>
        <v>100</v>
      </c>
    </row>
    <row r="50" spans="1:5" ht="15.75" thickBot="1" x14ac:dyDescent="0.3">
      <c r="A50" s="56" t="s">
        <v>102</v>
      </c>
      <c r="B50" s="59">
        <v>3</v>
      </c>
      <c r="C50">
        <v>0.5</v>
      </c>
      <c r="D50" s="18">
        <f>+$D$44/Tabla2[[#This Row],[family_area]]</f>
        <v>3.3333333333333335</v>
      </c>
    </row>
    <row r="51" spans="1:5" ht="15.75" thickBot="1" x14ac:dyDescent="0.3">
      <c r="A51" s="56" t="s">
        <v>103</v>
      </c>
      <c r="B51" s="59">
        <v>5</v>
      </c>
      <c r="C51">
        <v>2</v>
      </c>
      <c r="D51" s="18">
        <f>+$D$44/Tabla2[[#This Row],[family_area]]</f>
        <v>2</v>
      </c>
    </row>
    <row r="52" spans="1:5" ht="15.75" thickBot="1" x14ac:dyDescent="0.3">
      <c r="A52" s="56" t="s">
        <v>104</v>
      </c>
      <c r="B52" s="59">
        <v>10</v>
      </c>
      <c r="C52">
        <v>10</v>
      </c>
      <c r="D52" s="18">
        <f>+$D$44/Tabla2[[#This Row],[family_area]]</f>
        <v>1</v>
      </c>
    </row>
    <row r="53" spans="1:5" ht="15.75" thickBot="1" x14ac:dyDescent="0.3">
      <c r="A53" s="56" t="s">
        <v>105</v>
      </c>
      <c r="B53" s="59">
        <v>10</v>
      </c>
      <c r="C53">
        <v>10</v>
      </c>
      <c r="D53" s="18">
        <f>+$D$44/Tabla2[[#This Row],[family_area]]</f>
        <v>1</v>
      </c>
      <c r="E53" t="s">
        <v>109</v>
      </c>
    </row>
    <row r="54" spans="1:5" x14ac:dyDescent="0.25">
      <c r="A54" s="54"/>
      <c r="B54" s="57"/>
      <c r="E54" s="6" t="s">
        <v>110</v>
      </c>
    </row>
  </sheetData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39</v>
      </c>
      <c r="C1" t="s">
        <v>40</v>
      </c>
      <c r="E1" t="s">
        <v>39</v>
      </c>
      <c r="F1" t="s">
        <v>41</v>
      </c>
    </row>
    <row r="2" spans="1:7" x14ac:dyDescent="0.25">
      <c r="A2" t="s">
        <v>34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35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36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37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17</v>
      </c>
      <c r="C10" s="5" t="s">
        <v>28</v>
      </c>
      <c r="E10" s="12" t="s">
        <v>38</v>
      </c>
      <c r="F10" s="5" t="s">
        <v>32</v>
      </c>
      <c r="G10" s="5" t="s">
        <v>33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2021-07-10T06:16:21Z</dcterms:modified>
</cp:coreProperties>
</file>