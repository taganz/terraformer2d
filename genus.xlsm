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d641367ab90122e/_tec/codi/GM/Terraformer2D/"/>
    </mc:Choice>
  </mc:AlternateContent>
  <xr:revisionPtr revIDLastSave="67" documentId="8_{58C37A93-2D65-4915-A7F1-CF84D00854A1}" xr6:coauthVersionLast="47" xr6:coauthVersionMax="47" xr10:uidLastSave="{9998F2AE-4C22-44EF-9034-7B28FA2E5633}"/>
  <bookViews>
    <workbookView xWindow="-120" yWindow="-120" windowWidth="20730" windowHeight="11160" xr2:uid="{00000000-000D-0000-FFFF-FFFF00000000}"/>
  </bookViews>
  <sheets>
    <sheet name="genus" sheetId="3" r:id="rId1"/>
    <sheet name="Tables" sheetId="4" r:id="rId2"/>
    <sheet name="Sprite_image_simulator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0" i="3" l="1"/>
  <c r="K46" i="3"/>
  <c r="K49" i="3" s="1"/>
  <c r="K45" i="3"/>
  <c r="K9" i="3"/>
  <c r="K8" i="3"/>
  <c r="J50" i="3"/>
  <c r="J49" i="3"/>
  <c r="J46" i="3"/>
  <c r="J48" i="3" s="1"/>
  <c r="J45" i="3"/>
  <c r="J9" i="3"/>
  <c r="J8" i="3"/>
  <c r="I50" i="3"/>
  <c r="I46" i="3"/>
  <c r="I49" i="3" s="1"/>
  <c r="I45" i="3"/>
  <c r="I9" i="3"/>
  <c r="I8" i="3"/>
  <c r="M46" i="3"/>
  <c r="M49" i="3" s="1"/>
  <c r="L46" i="3"/>
  <c r="L49" i="3" s="1"/>
  <c r="G46" i="3"/>
  <c r="G48" i="3" s="1"/>
  <c r="H46" i="3"/>
  <c r="H48" i="3" s="1"/>
  <c r="F46" i="3"/>
  <c r="F48" i="3" s="1"/>
  <c r="E46" i="3"/>
  <c r="E49" i="3" s="1"/>
  <c r="D46" i="3"/>
  <c r="D49" i="3" s="1"/>
  <c r="B46" i="3"/>
  <c r="B49" i="3" s="1"/>
  <c r="C46" i="3"/>
  <c r="C48" i="3" s="1"/>
  <c r="F49" i="3"/>
  <c r="R45" i="3"/>
  <c r="Q45" i="3"/>
  <c r="P45" i="3"/>
  <c r="O45" i="3"/>
  <c r="N45" i="3"/>
  <c r="M45" i="3"/>
  <c r="L45" i="3"/>
  <c r="G45" i="3"/>
  <c r="H45" i="3"/>
  <c r="F45" i="3"/>
  <c r="E45" i="3"/>
  <c r="D45" i="3"/>
  <c r="C45" i="3"/>
  <c r="B45" i="3"/>
  <c r="R46" i="3"/>
  <c r="R48" i="3" s="1"/>
  <c r="R49" i="3" s="1"/>
  <c r="Q46" i="3"/>
  <c r="Q48" i="3" s="1"/>
  <c r="Q49" i="3" s="1"/>
  <c r="P46" i="3"/>
  <c r="P48" i="3" s="1"/>
  <c r="P49" i="3" s="1"/>
  <c r="O46" i="3"/>
  <c r="O48" i="3" s="1"/>
  <c r="O49" i="3" s="1"/>
  <c r="N46" i="3"/>
  <c r="N48" i="3" s="1"/>
  <c r="N49" i="3" s="1"/>
  <c r="R50" i="3"/>
  <c r="Q50" i="3"/>
  <c r="P50" i="3"/>
  <c r="O50" i="3"/>
  <c r="N50" i="3"/>
  <c r="Q9" i="3"/>
  <c r="Q8" i="3"/>
  <c r="B1" i="3"/>
  <c r="P9" i="3"/>
  <c r="P8" i="3"/>
  <c r="M50" i="3"/>
  <c r="L50" i="3"/>
  <c r="H50" i="3"/>
  <c r="F50" i="3"/>
  <c r="E50" i="3"/>
  <c r="D50" i="3"/>
  <c r="C50" i="3"/>
  <c r="B50" i="3"/>
  <c r="G50" i="3"/>
  <c r="G9" i="3"/>
  <c r="G8" i="3"/>
  <c r="E18" i="5"/>
  <c r="E17" i="5"/>
  <c r="E16" i="5"/>
  <c r="E15" i="5"/>
  <c r="E14" i="5"/>
  <c r="E13" i="5"/>
  <c r="E12" i="5"/>
  <c r="E11" i="5"/>
  <c r="D9" i="3"/>
  <c r="D8" i="3"/>
  <c r="L9" i="3"/>
  <c r="L8" i="3"/>
  <c r="F9" i="3"/>
  <c r="F8" i="3"/>
  <c r="R9" i="3"/>
  <c r="R8" i="3"/>
  <c r="O9" i="3"/>
  <c r="O8" i="3"/>
  <c r="C9" i="3"/>
  <c r="N9" i="3"/>
  <c r="M9" i="3"/>
  <c r="H9" i="3"/>
  <c r="E9" i="3"/>
  <c r="B9" i="3"/>
  <c r="N8" i="3"/>
  <c r="M8" i="3"/>
  <c r="H8" i="3"/>
  <c r="E8" i="3"/>
  <c r="C8" i="3"/>
  <c r="B8" i="3"/>
  <c r="K48" i="3" l="1"/>
  <c r="I48" i="3"/>
  <c r="H49" i="3"/>
  <c r="E48" i="3"/>
  <c r="L48" i="3"/>
  <c r="G49" i="3"/>
  <c r="C49" i="3"/>
  <c r="B48" i="3"/>
  <c r="D48" i="3"/>
  <c r="M48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 Dalmau</author>
  </authors>
  <commentList>
    <comment ref="A30" authorId="0" shapeId="0" xr:uid="{DF3650A6-B6C2-45A8-9464-2BF746300551}">
      <text>
        <r>
          <rPr>
            <b/>
            <sz val="9"/>
            <color indexed="81"/>
            <rFont val="Tahoma"/>
            <charset val="1"/>
          </rPr>
          <t>Ricard Dalmau:</t>
        </r>
        <r>
          <rPr>
            <sz val="9"/>
            <color indexed="81"/>
            <rFont val="Tahoma"/>
            <charset val="1"/>
          </rPr>
          <t xml:space="preserve">
Aprox 10% mass goes up into next thropic level</t>
        </r>
      </text>
    </comment>
    <comment ref="A34" authorId="0" shapeId="0" xr:uid="{6EC34207-E0B4-452E-B700-5C4500558972}">
      <text>
        <r>
          <rPr>
            <b/>
            <sz val="9"/>
            <color indexed="81"/>
            <rFont val="Tahoma"/>
            <charset val="1"/>
          </rPr>
          <t>Ricard Dalmau:</t>
        </r>
        <r>
          <rPr>
            <sz val="9"/>
            <color indexed="81"/>
            <rFont val="Tahoma"/>
            <charset val="1"/>
          </rPr>
          <t xml:space="preserve">
dormancy state will be triggered when temperature factor reaches this leve</t>
        </r>
      </text>
    </comment>
    <comment ref="A39" authorId="0" shapeId="0" xr:uid="{AC5AF4F0-BD59-4DF7-A2B9-16AAD27ECE38}">
      <text>
        <r>
          <rPr>
            <b/>
            <sz val="9"/>
            <color indexed="81"/>
            <rFont val="Tahoma"/>
            <family val="2"/>
          </rPr>
          <t>Ricard Dalmau:</t>
        </r>
        <r>
          <rPr>
            <sz val="9"/>
            <color indexed="81"/>
            <rFont val="Tahoma"/>
            <family val="2"/>
          </rPr>
          <t xml:space="preserve">
BIOMASS_REPRODUCTION ja no cal </t>
        </r>
      </text>
    </comment>
  </commentList>
</comments>
</file>

<file path=xl/sharedStrings.xml><?xml version="1.0" encoding="utf-8"?>
<sst xmlns="http://schemas.openxmlformats.org/spreadsheetml/2006/main" count="144" uniqueCount="105">
  <si>
    <t>GEN_START</t>
  </si>
  <si>
    <t>GEN_END</t>
  </si>
  <si>
    <t>// parent specie for initial species</t>
  </si>
  <si>
    <t>SECONDARY_SMALL</t>
  </si>
  <si>
    <t>SPECIE</t>
  </si>
  <si>
    <t>Columna1</t>
  </si>
  <si>
    <t>SECONDARY</t>
  </si>
  <si>
    <t>TROPHIC_LEVEL</t>
  </si>
  <si>
    <t>PRODUCER</t>
  </si>
  <si>
    <t>PRIMARY</t>
  </si>
  <si>
    <t>NOPARENT</t>
  </si>
  <si>
    <t>PLANT_TREE</t>
  </si>
  <si>
    <t>PLANT_BUSH</t>
  </si>
  <si>
    <t>PLANT_BUSH_2</t>
  </si>
  <si>
    <t>PRIMARY_TINY</t>
  </si>
  <si>
    <t>PRIMARY_SMALL</t>
  </si>
  <si>
    <t>Tree</t>
  </si>
  <si>
    <t>Primary small</t>
  </si>
  <si>
    <t>Primary tiny</t>
  </si>
  <si>
    <t>Secondary small</t>
  </si>
  <si>
    <t>PARENT_SPECIE_CODE</t>
  </si>
  <si>
    <t>AGE_DEAD</t>
  </si>
  <si>
    <t>REPRODUCTION_INTERVAL</t>
  </si>
  <si>
    <t>REPRODUCTION_DISTANCE</t>
  </si>
  <si>
    <t>ALLOCATION_REPRODUCTIVE</t>
  </si>
  <si>
    <t>SPECIE_CODE</t>
  </si>
  <si>
    <t>BIOMASS_ADULT</t>
  </si>
  <si>
    <t>TEMPERATURE_OPTIMAL</t>
  </si>
  <si>
    <t>ANABOLISM_BIOMASS_PER_WATER_L</t>
  </si>
  <si>
    <t>PLANT_BODY_DENSITY</t>
  </si>
  <si>
    <t>PLANT_BODY_FORM_FACTOR</t>
  </si>
  <si>
    <t>PLANT_HEAD_DENSITY</t>
  </si>
  <si>
    <t>PLANT_HEAD_FORM_FACTOR</t>
  </si>
  <si>
    <t>DEPRECATED_10</t>
  </si>
  <si>
    <t>T.Level</t>
  </si>
  <si>
    <t>Init Specie</t>
  </si>
  <si>
    <t>PLANT_DESERT</t>
  </si>
  <si>
    <t>LMFa</t>
  </si>
  <si>
    <t>Plant desert</t>
  </si>
  <si>
    <t>TEMPERATURE_RANGE</t>
  </si>
  <si>
    <t>REPRODUCTION_QUANTITY</t>
  </si>
  <si>
    <t>TREE_TROPICAL</t>
  </si>
  <si>
    <t>Comments</t>
  </si>
  <si>
    <t>High temp, high reserve</t>
  </si>
  <si>
    <t>Low temp, high reserve</t>
  </si>
  <si>
    <t>PLANT_ARTIC</t>
  </si>
  <si>
    <t>Plant artic</t>
  </si>
  <si>
    <t>TREE_CONTINENTAL</t>
  </si>
  <si>
    <t>Tree continental</t>
  </si>
  <si>
    <t>Tree tropical</t>
  </si>
  <si>
    <t>Trunk</t>
  </si>
  <si>
    <t>KC_METABOLIC_RATE</t>
  </si>
  <si>
    <t>DORMANCY_TEMPERATURE_TRIGGER</t>
  </si>
  <si>
    <t>DORMANCY_CATABOLISM_REDUCTION</t>
  </si>
  <si>
    <t>DORMANCY_MONTHS</t>
  </si>
  <si>
    <t>ALLOCATION_DIGESTIVE_ANIMALS</t>
  </si>
  <si>
    <t>EVOTRANSPIRATION_FACTOR</t>
  </si>
  <si>
    <t>X</t>
  </si>
  <si>
    <t>Y</t>
  </si>
  <si>
    <t>segment 1</t>
  </si>
  <si>
    <t>segment 2</t>
  </si>
  <si>
    <t>segment 3</t>
  </si>
  <si>
    <t>segment 4</t>
  </si>
  <si>
    <t>formula_x</t>
  </si>
  <si>
    <t>x_threshold</t>
  </si>
  <si>
    <t>x_value</t>
  </si>
  <si>
    <t>y_value</t>
  </si>
  <si>
    <t>All gen value must be numeric - no empty cells</t>
  </si>
  <si>
    <t>SPECIE_HUE</t>
  </si>
  <si>
    <t>GENUS</t>
  </si>
  <si>
    <t>GENUS_NAME</t>
  </si>
  <si>
    <t>CROP_BUSH</t>
  </si>
  <si>
    <t>Crop bush</t>
  </si>
  <si>
    <t>LEAF_M2_PER_KG</t>
  </si>
  <si>
    <t>Catabolism adult</t>
  </si>
  <si>
    <t>Anabolism adult wanted</t>
  </si>
  <si>
    <t>Per baixar aigua consumida cal baixar KC vigilant que LMFa quedi &gt; 0,01</t>
  </si>
  <si>
    <t>COMBAT_ATTACK_POINTS</t>
  </si>
  <si>
    <t>COMBAT_DEFENSE_POINTS</t>
  </si>
  <si>
    <t>version</t>
  </si>
  <si>
    <t>PRIMARY_TINY_2</t>
  </si>
  <si>
    <t>Primary tiny 2</t>
  </si>
  <si>
    <t>KA_ANABOLISM_FACTOR</t>
  </si>
  <si>
    <t>DEPRECATED_BIOMASS_BIRTH</t>
  </si>
  <si>
    <t>PRIMARY_TINY_3</t>
  </si>
  <si>
    <t>Primary tiny 3</t>
  </si>
  <si>
    <t xml:space="preserve"> </t>
  </si>
  <si>
    <t>T.Level2</t>
  </si>
  <si>
    <t>BIOMASS_LIFE_FACTOR</t>
  </si>
  <si>
    <t>control Q per salvar</t>
  </si>
  <si>
    <t>TREE_MEDITERRANEAN</t>
  </si>
  <si>
    <t>Tree mediterranean</t>
  </si>
  <si>
    <t>HEIGHT_ADULT</t>
  </si>
  <si>
    <t>CLIMATE_ET0_EVOTRANSPIRATION_AVG</t>
  </si>
  <si>
    <t>plant transpiration (anabolism_input maximum)</t>
  </si>
  <si>
    <t>PLANT_BUSH_3</t>
  </si>
  <si>
    <t>add_above_this_line</t>
  </si>
  <si>
    <t>TBD</t>
  </si>
  <si>
    <t>PLANT_BUSH_4</t>
  </si>
  <si>
    <t>PLANT_BUSH_5</t>
  </si>
  <si>
    <t>Bush 5</t>
  </si>
  <si>
    <t>Bush 4</t>
  </si>
  <si>
    <t>Bush 3</t>
  </si>
  <si>
    <t>Bush 2</t>
  </si>
  <si>
    <t>Bush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</si>
</sst>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3" borderId="0" xfId="0" applyFill="1"/>
    <xf numFmtId="0" fontId="0" fillId="2" borderId="0" xfId="0" applyFill="1"/>
    <xf numFmtId="0" fontId="1" fillId="4" borderId="0" xfId="0" applyFont="1" applyFill="1"/>
    <xf numFmtId="0" fontId="0" fillId="4" borderId="0" xfId="0" applyFill="1"/>
    <xf numFmtId="0" fontId="0" fillId="0" borderId="0" xfId="0" applyAlignment="1">
      <alignment wrapText="1"/>
    </xf>
    <xf numFmtId="0" fontId="3" fillId="0" borderId="0" xfId="0" applyFont="1"/>
    <xf numFmtId="0" fontId="3" fillId="3" borderId="0" xfId="0" applyFont="1" applyFill="1"/>
    <xf numFmtId="0" fontId="8" fillId="0" borderId="0" xfId="0" applyFont="1"/>
    <xf numFmtId="0" fontId="8" fillId="3" borderId="0" xfId="0" applyFont="1" applyFill="1"/>
    <xf numFmtId="0" fontId="2" fillId="5" borderId="0" xfId="0" applyFont="1" applyFill="1" applyAlignment="1">
      <alignment wrapText="1"/>
    </xf>
    <xf numFmtId="0" fontId="0" fillId="0" borderId="0" xfId="0" applyFill="1"/>
    <xf numFmtId="0" fontId="9" fillId="0" borderId="0" xfId="0" applyFont="1" applyAlignment="1">
      <alignment wrapText="1"/>
    </xf>
    <xf numFmtId="0" fontId="3" fillId="4" borderId="0" xfId="0" applyFont="1" applyFill="1"/>
    <xf numFmtId="0" fontId="3" fillId="0" borderId="0" xfId="0" applyFont="1" applyAlignment="1">
      <alignment wrapText="1"/>
    </xf>
    <xf numFmtId="164" fontId="0" fillId="2" borderId="0" xfId="0" applyNumberFormat="1" applyFill="1"/>
    <xf numFmtId="0" fontId="0" fillId="7" borderId="0" xfId="0" applyFill="1"/>
    <xf numFmtId="22" fontId="0" fillId="0" borderId="0" xfId="0" applyNumberFormat="1"/>
    <xf numFmtId="1" fontId="0" fillId="0" borderId="0" xfId="0" applyNumberFormat="1"/>
    <xf numFmtId="1" fontId="3" fillId="0" borderId="0" xfId="0" applyNumberFormat="1" applyFont="1"/>
    <xf numFmtId="0" fontId="8" fillId="4" borderId="0" xfId="0" applyFont="1" applyFill="1"/>
    <xf numFmtId="0" fontId="8" fillId="2" borderId="0" xfId="0" applyFont="1" applyFill="1"/>
    <xf numFmtId="0" fontId="8" fillId="0" borderId="0" xfId="0" applyFont="1" applyAlignment="1">
      <alignment wrapText="1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8" fillId="0" borderId="2" xfId="0" applyFont="1" applyBorder="1"/>
    <xf numFmtId="0" fontId="3" fillId="0" borderId="1" xfId="0" applyFont="1" applyBorder="1"/>
    <xf numFmtId="0" fontId="2" fillId="6" borderId="0" xfId="0" applyFont="1" applyFill="1"/>
    <xf numFmtId="0" fontId="2" fillId="8" borderId="0" xfId="0" applyFont="1" applyFill="1"/>
    <xf numFmtId="0" fontId="2" fillId="9" borderId="0" xfId="0" applyFont="1" applyFill="1"/>
    <xf numFmtId="164" fontId="8" fillId="10" borderId="0" xfId="0" applyNumberFormat="1" applyFont="1" applyFill="1"/>
    <xf numFmtId="165" fontId="3" fillId="0" borderId="0" xfId="0" applyNumberFormat="1" applyFont="1"/>
    <xf numFmtId="0" fontId="11" fillId="0" borderId="0" xfId="0" applyFont="1"/>
    <xf numFmtId="0" fontId="0" fillId="11" borderId="0" xfId="0" applyFill="1"/>
    <xf numFmtId="0" fontId="12" fillId="11" borderId="0" xfId="0" applyFont="1" applyFill="1"/>
    <xf numFmtId="0" fontId="8" fillId="11" borderId="0" xfId="0" applyFont="1" applyFill="1"/>
    <xf numFmtId="0" fontId="3" fillId="11" borderId="0" xfId="0" applyFont="1" applyFill="1"/>
    <xf numFmtId="0" fontId="0" fillId="11" borderId="1" xfId="0" applyFill="1" applyBorder="1"/>
    <xf numFmtId="0" fontId="0" fillId="11" borderId="2" xfId="0" applyFill="1" applyBorder="1"/>
    <xf numFmtId="0" fontId="0" fillId="11" borderId="3" xfId="0" applyFill="1" applyBorder="1"/>
    <xf numFmtId="0" fontId="0" fillId="2" borderId="2" xfId="0" applyFill="1" applyBorder="1"/>
    <xf numFmtId="0" fontId="0" fillId="2" borderId="3" xfId="0" applyFill="1" applyBorder="1"/>
    <xf numFmtId="0" fontId="3" fillId="2" borderId="1" xfId="0" applyFont="1" applyFill="1" applyBorder="1"/>
    <xf numFmtId="0" fontId="8" fillId="2" borderId="2" xfId="0" applyFont="1" applyFill="1" applyBorder="1"/>
    <xf numFmtId="0" fontId="3" fillId="2" borderId="3" xfId="0" applyFont="1" applyFill="1" applyBorder="1"/>
    <xf numFmtId="0" fontId="0" fillId="8" borderId="0" xfId="0" applyFill="1"/>
    <xf numFmtId="0" fontId="0" fillId="8" borderId="0" xfId="0" applyFill="1" applyAlignment="1">
      <alignment wrapText="1"/>
    </xf>
    <xf numFmtId="0" fontId="0" fillId="12" borderId="0" xfId="0" applyFill="1"/>
    <xf numFmtId="0" fontId="0" fillId="12" borderId="1" xfId="0" applyFill="1" applyBorder="1"/>
    <xf numFmtId="0" fontId="0" fillId="12" borderId="2" xfId="0" applyFill="1" applyBorder="1"/>
    <xf numFmtId="0" fontId="0" fillId="12" borderId="3" xfId="0" applyFill="1" applyBorder="1"/>
    <xf numFmtId="0" fontId="10" fillId="5" borderId="0" xfId="0" applyFont="1" applyFill="1" applyAlignment="1">
      <alignment wrapText="1"/>
    </xf>
    <xf numFmtId="165" fontId="0" fillId="13" borderId="0" xfId="0" applyNumberFormat="1" applyFill="1"/>
  </cellXfs>
  <cellStyles count="1">
    <cellStyle name="Normal" xfId="0" builtinId="0"/>
  </cellStyles>
  <dxfs count="2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D1E7A51-3F9A-457E-8164-DC9CE54AAD7E}" name="Tabla1" displayName="Tabla1" ref="A4:B25" totalsRowShown="0">
  <autoFilter ref="A4:B25" xr:uid="{32879433-947D-4C16-8A31-1D013AF5B66D}"/>
  <tableColumns count="2">
    <tableColumn id="1" xr3:uid="{E2FE4E06-7EB8-433B-B74E-86E06F282A09}" name="SPECIE"/>
    <tableColumn id="2" xr3:uid="{072F277B-7C10-4EDB-A8B0-995CFC3FA4D8}" name="Columna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F02F23A-80FE-43FA-B033-8D71C351971B}" name="Tabla3" displayName="Tabla3" ref="A31:B34" totalsRowShown="0">
  <autoFilter ref="A31:B34" xr:uid="{CB8FC755-80F0-493F-B516-320A711A4042}"/>
  <tableColumns count="2">
    <tableColumn id="1" xr3:uid="{871757CF-6856-4588-B8E9-BA23960BCFD7}" name="TROPHIC_LEVEL"/>
    <tableColumn id="2" xr3:uid="{DFAA0427-1F77-4C38-B162-5A7CF722FFF7}" name="Columna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56E24-D116-4545-8100-A73B8CF06CFE}">
  <sheetPr codeName="Hoja1"/>
  <dimension ref="A1:R51"/>
  <sheetViews>
    <sheetView tabSelected="1" zoomScaleNormal="100" workbookViewId="0">
      <pane xSplit="1" ySplit="6" topLeftCell="I7" activePane="bottomRight" state="frozen"/>
      <selection pane="topRight" activeCell="B1" sqref="B1"/>
      <selection pane="bottomLeft" activeCell="A6" sqref="A6"/>
      <selection pane="bottomRight" activeCell="J6" sqref="J6"/>
    </sheetView>
  </sheetViews>
  <sheetFormatPr baseColWidth="10" defaultRowHeight="15" x14ac:dyDescent="0.25"/>
  <cols>
    <col min="1" max="1" width="40.42578125" customWidth="1"/>
    <col min="2" max="2" width="15.7109375" bestFit="1" customWidth="1"/>
    <col min="16" max="17" width="11.5703125" customWidth="1"/>
  </cols>
  <sheetData>
    <row r="1" spans="1:18" x14ac:dyDescent="0.25">
      <c r="A1" t="s">
        <v>79</v>
      </c>
      <c r="B1" s="17">
        <f ca="1">NOW()</f>
        <v>44353.738135416665</v>
      </c>
      <c r="D1" s="33" t="s">
        <v>89</v>
      </c>
    </row>
    <row r="2" spans="1:18" x14ac:dyDescent="0.25">
      <c r="A2" s="6" t="s">
        <v>93</v>
      </c>
      <c r="B2" s="7">
        <v>180</v>
      </c>
      <c r="D2" t="s">
        <v>67</v>
      </c>
    </row>
    <row r="3" spans="1:18" x14ac:dyDescent="0.25">
      <c r="A3" t="s">
        <v>73</v>
      </c>
      <c r="B3" s="1">
        <v>0.1</v>
      </c>
      <c r="D3" s="16" t="s">
        <v>76</v>
      </c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</row>
    <row r="5" spans="1:18" x14ac:dyDescent="0.25">
      <c r="A5" t="s">
        <v>34</v>
      </c>
      <c r="B5" s="28" t="s">
        <v>8</v>
      </c>
      <c r="C5" s="28" t="s">
        <v>8</v>
      </c>
      <c r="D5" s="28" t="s">
        <v>8</v>
      </c>
      <c r="E5" s="28" t="s">
        <v>8</v>
      </c>
      <c r="F5" s="28" t="s">
        <v>8</v>
      </c>
      <c r="G5" s="28" t="s">
        <v>8</v>
      </c>
      <c r="H5" s="28" t="s">
        <v>8</v>
      </c>
      <c r="I5" s="28" t="s">
        <v>8</v>
      </c>
      <c r="J5" s="28" t="s">
        <v>8</v>
      </c>
      <c r="K5" s="28" t="s">
        <v>8</v>
      </c>
      <c r="L5" s="28" t="s">
        <v>8</v>
      </c>
      <c r="M5" s="28" t="s">
        <v>8</v>
      </c>
      <c r="N5" s="29" t="s">
        <v>9</v>
      </c>
      <c r="O5" s="29" t="s">
        <v>9</v>
      </c>
      <c r="P5" s="29" t="s">
        <v>9</v>
      </c>
      <c r="Q5" s="29" t="s">
        <v>9</v>
      </c>
      <c r="R5" s="30" t="s">
        <v>6</v>
      </c>
    </row>
    <row r="6" spans="1:18" ht="23.25" x14ac:dyDescent="0.25">
      <c r="A6" t="s">
        <v>35</v>
      </c>
      <c r="B6" s="10" t="s">
        <v>11</v>
      </c>
      <c r="C6" s="10" t="s">
        <v>41</v>
      </c>
      <c r="D6" s="10" t="s">
        <v>47</v>
      </c>
      <c r="E6" s="10" t="s">
        <v>90</v>
      </c>
      <c r="F6" s="10" t="s">
        <v>36</v>
      </c>
      <c r="G6" s="52" t="s">
        <v>71</v>
      </c>
      <c r="H6" s="10" t="s">
        <v>12</v>
      </c>
      <c r="I6" s="10" t="s">
        <v>13</v>
      </c>
      <c r="J6" s="10" t="s">
        <v>95</v>
      </c>
      <c r="K6" s="10" t="s">
        <v>98</v>
      </c>
      <c r="L6" s="10" t="s">
        <v>99</v>
      </c>
      <c r="M6" s="10" t="s">
        <v>45</v>
      </c>
      <c r="N6" s="10" t="s">
        <v>15</v>
      </c>
      <c r="O6" s="10" t="s">
        <v>14</v>
      </c>
      <c r="P6" s="10" t="s">
        <v>80</v>
      </c>
      <c r="Q6" s="10" t="s">
        <v>84</v>
      </c>
      <c r="R6" s="10" t="s">
        <v>3</v>
      </c>
    </row>
    <row r="7" spans="1:18" x14ac:dyDescent="0.25">
      <c r="A7" s="3" t="s">
        <v>0</v>
      </c>
      <c r="B7" s="4"/>
      <c r="C7" s="4"/>
      <c r="D7" s="4"/>
      <c r="E7" s="4"/>
      <c r="F7" s="4"/>
      <c r="G7" s="20"/>
      <c r="H7" s="4"/>
      <c r="I7" s="4"/>
      <c r="J7" s="4"/>
      <c r="K7" s="4"/>
      <c r="L7" s="4"/>
      <c r="M7" s="4"/>
      <c r="N7" s="4"/>
      <c r="O7" s="4"/>
      <c r="P7" s="4"/>
      <c r="Q7" s="4"/>
      <c r="R7" s="4"/>
    </row>
    <row r="8" spans="1:18" x14ac:dyDescent="0.25">
      <c r="A8" s="46" t="s">
        <v>7</v>
      </c>
      <c r="B8" s="2">
        <f>VLOOKUP(B5,Tabla3[#All],2,FALSE)</f>
        <v>0</v>
      </c>
      <c r="C8" s="2">
        <f>VLOOKUP(C5,Tabla3[#All],2,FALSE)</f>
        <v>0</v>
      </c>
      <c r="D8" s="2">
        <f>VLOOKUP(D5,Tabla3[#All],2,FALSE)</f>
        <v>0</v>
      </c>
      <c r="E8" s="2">
        <f>VLOOKUP(E5,Tabla3[#All],2,FALSE)</f>
        <v>0</v>
      </c>
      <c r="F8" s="2">
        <f>VLOOKUP(F5,Tabla3[#All],2,FALSE)</f>
        <v>0</v>
      </c>
      <c r="G8" s="21">
        <f>VLOOKUP(G5,Tabla3[#All],2,FALSE)</f>
        <v>0</v>
      </c>
      <c r="H8" s="2">
        <f>VLOOKUP(H5,Tabla3[#All],2,FALSE)</f>
        <v>0</v>
      </c>
      <c r="I8" s="2">
        <f>VLOOKUP(I5,Tabla3[#All],2,FALSE)</f>
        <v>0</v>
      </c>
      <c r="J8" s="2">
        <f>VLOOKUP(J5,Tabla3[#All],2,FALSE)</f>
        <v>0</v>
      </c>
      <c r="K8" s="2">
        <f>VLOOKUP(K5,Tabla3[#All],2,FALSE)</f>
        <v>0</v>
      </c>
      <c r="L8" s="2">
        <f>VLOOKUP(L5,Tabla3[#All],2,FALSE)</f>
        <v>0</v>
      </c>
      <c r="M8" s="2">
        <f>VLOOKUP(M5,Tabla3[#All],2,FALSE)</f>
        <v>0</v>
      </c>
      <c r="N8" s="2">
        <f>VLOOKUP(N5,Tabla3[#All],2,FALSE)</f>
        <v>1</v>
      </c>
      <c r="O8" s="2">
        <f>VLOOKUP(O5,Tabla3[#All],2,FALSE)</f>
        <v>1</v>
      </c>
      <c r="P8" s="2">
        <f>VLOOKUP(P5,Tabla3[#All],2,FALSE)</f>
        <v>1</v>
      </c>
      <c r="Q8" s="2">
        <f>VLOOKUP(Q5,Tabla3[#All],2,FALSE)</f>
        <v>1</v>
      </c>
      <c r="R8" s="2">
        <f>VLOOKUP(R5,Tabla3[#All],2,FALSE)</f>
        <v>2</v>
      </c>
    </row>
    <row r="9" spans="1:18" x14ac:dyDescent="0.25">
      <c r="A9" s="46" t="s">
        <v>69</v>
      </c>
      <c r="B9" s="2">
        <f>VLOOKUP(B6,Tabla1[#All],2,FALSE)</f>
        <v>1</v>
      </c>
      <c r="C9" s="2">
        <f>VLOOKUP(C6,Tabla1[#All],2,FALSE)</f>
        <v>2</v>
      </c>
      <c r="D9" s="2">
        <f>VLOOKUP(D6,Tabla1[#All],2,FALSE)</f>
        <v>3</v>
      </c>
      <c r="E9" s="2">
        <f>VLOOKUP(E6,Tabla1[#All],2,FALSE)</f>
        <v>11</v>
      </c>
      <c r="F9" s="2">
        <f>VLOOKUP(F6,Tabla1[#All],2,FALSE)</f>
        <v>9</v>
      </c>
      <c r="G9" s="21">
        <f>VLOOKUP(G6,Tabla1[#All],2,FALSE)</f>
        <v>12</v>
      </c>
      <c r="H9" s="2">
        <f>VLOOKUP(H6,Tabla1[#All],2,FALSE)</f>
        <v>4</v>
      </c>
      <c r="I9" s="2">
        <f>VLOOKUP(I6,Tabla1[#All],2,FALSE)</f>
        <v>5</v>
      </c>
      <c r="J9" s="2">
        <f>VLOOKUP(J6,Tabla1[#All],2,FALSE)</f>
        <v>15</v>
      </c>
      <c r="K9" s="2">
        <f>VLOOKUP(K6,Tabla1[#All],2,FALSE)</f>
        <v>16</v>
      </c>
      <c r="L9" s="2">
        <f>VLOOKUP(L6,Tabla1[#All],2,FALSE)</f>
        <v>17</v>
      </c>
      <c r="M9" s="2">
        <f>VLOOKUP(M6,Tabla1[#All],2,FALSE)</f>
        <v>10</v>
      </c>
      <c r="N9" s="2">
        <f>VLOOKUP(N6,Tabla1[#All],2,FALSE)</f>
        <v>7</v>
      </c>
      <c r="O9" s="2">
        <f>VLOOKUP(O6,Tabla1[#All],2,FALSE)</f>
        <v>6</v>
      </c>
      <c r="P9" s="2">
        <f>VLOOKUP(P6,Tabla1[#All],2,FALSE)</f>
        <v>13</v>
      </c>
      <c r="Q9" s="2">
        <f>VLOOKUP(Q6,Tabla1[#All],2,FALSE)</f>
        <v>14</v>
      </c>
      <c r="R9" s="2">
        <f>VLOOKUP(R6,Tabla1[#All],2,FALSE)</f>
        <v>8</v>
      </c>
    </row>
    <row r="10" spans="1:18" s="5" customFormat="1" ht="45" x14ac:dyDescent="0.25">
      <c r="A10" s="47" t="s">
        <v>70</v>
      </c>
      <c r="B10" s="5" t="s">
        <v>16</v>
      </c>
      <c r="C10" s="5" t="s">
        <v>49</v>
      </c>
      <c r="D10" s="5" t="s">
        <v>48</v>
      </c>
      <c r="E10" s="5" t="s">
        <v>91</v>
      </c>
      <c r="F10" s="5" t="s">
        <v>38</v>
      </c>
      <c r="G10" s="22" t="s">
        <v>72</v>
      </c>
      <c r="H10" s="5" t="s">
        <v>104</v>
      </c>
      <c r="I10" s="5" t="s">
        <v>103</v>
      </c>
      <c r="J10" s="5" t="s">
        <v>102</v>
      </c>
      <c r="K10" s="5" t="s">
        <v>101</v>
      </c>
      <c r="L10" s="5" t="s">
        <v>100</v>
      </c>
      <c r="M10" s="5" t="s">
        <v>46</v>
      </c>
      <c r="N10" s="5" t="s">
        <v>17</v>
      </c>
      <c r="O10" s="5" t="s">
        <v>18</v>
      </c>
      <c r="P10" s="5" t="s">
        <v>81</v>
      </c>
      <c r="Q10" s="5" t="s">
        <v>85</v>
      </c>
      <c r="R10" s="5" t="s">
        <v>19</v>
      </c>
    </row>
    <row r="11" spans="1:18" x14ac:dyDescent="0.25">
      <c r="A11" s="48" t="s">
        <v>25</v>
      </c>
      <c r="B11">
        <v>0</v>
      </c>
      <c r="C11">
        <v>0</v>
      </c>
      <c r="D11">
        <v>0</v>
      </c>
      <c r="E11">
        <v>0</v>
      </c>
      <c r="F11">
        <v>0</v>
      </c>
      <c r="G11" s="8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</row>
    <row r="12" spans="1:18" x14ac:dyDescent="0.25">
      <c r="A12" s="48" t="s">
        <v>20</v>
      </c>
      <c r="B12">
        <v>0</v>
      </c>
      <c r="C12">
        <v>0</v>
      </c>
      <c r="D12">
        <v>0</v>
      </c>
      <c r="E12">
        <v>0</v>
      </c>
      <c r="F12">
        <v>0</v>
      </c>
      <c r="G12" s="8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</row>
    <row r="13" spans="1:18" x14ac:dyDescent="0.25">
      <c r="A13" s="48" t="s">
        <v>68</v>
      </c>
      <c r="B13">
        <v>-1</v>
      </c>
      <c r="C13">
        <v>-1</v>
      </c>
      <c r="D13">
        <v>-1</v>
      </c>
      <c r="E13">
        <v>-1</v>
      </c>
      <c r="F13">
        <v>-1</v>
      </c>
      <c r="G13" s="8">
        <v>-1</v>
      </c>
      <c r="H13">
        <v>-1</v>
      </c>
      <c r="I13">
        <v>-1</v>
      </c>
      <c r="J13">
        <v>-1</v>
      </c>
      <c r="K13">
        <v>-1</v>
      </c>
      <c r="L13">
        <v>-1</v>
      </c>
      <c r="M13">
        <v>-1</v>
      </c>
      <c r="N13">
        <v>-1</v>
      </c>
      <c r="O13">
        <v>-1</v>
      </c>
      <c r="P13">
        <v>-1</v>
      </c>
      <c r="Q13">
        <v>-1</v>
      </c>
      <c r="R13">
        <v>-1</v>
      </c>
    </row>
    <row r="14" spans="1:18" x14ac:dyDescent="0.25">
      <c r="A14" s="49" t="s">
        <v>31</v>
      </c>
      <c r="B14" s="1">
        <v>50</v>
      </c>
      <c r="C14" s="1">
        <v>175</v>
      </c>
      <c r="D14" s="1">
        <v>175</v>
      </c>
      <c r="E14" s="1">
        <v>25</v>
      </c>
      <c r="F14" s="1">
        <v>40</v>
      </c>
      <c r="G14" s="9">
        <v>350</v>
      </c>
      <c r="H14" s="1">
        <v>10</v>
      </c>
      <c r="I14" s="1">
        <v>10</v>
      </c>
      <c r="J14" s="1">
        <v>10</v>
      </c>
      <c r="K14" s="1">
        <v>10</v>
      </c>
      <c r="L14" s="1">
        <v>10</v>
      </c>
      <c r="M14" s="1">
        <v>5</v>
      </c>
      <c r="N14">
        <v>5</v>
      </c>
      <c r="O14">
        <v>5</v>
      </c>
      <c r="P14">
        <v>5</v>
      </c>
      <c r="Q14">
        <v>5</v>
      </c>
      <c r="R14">
        <v>5</v>
      </c>
    </row>
    <row r="15" spans="1:18" x14ac:dyDescent="0.25">
      <c r="A15" s="50" t="s">
        <v>32</v>
      </c>
      <c r="B15" s="1">
        <v>1</v>
      </c>
      <c r="C15" s="1">
        <v>1.3</v>
      </c>
      <c r="D15" s="1">
        <v>1</v>
      </c>
      <c r="E15" s="1">
        <v>1</v>
      </c>
      <c r="F15" s="1">
        <v>1</v>
      </c>
      <c r="G15" s="9">
        <v>1</v>
      </c>
      <c r="H15" s="1">
        <v>1</v>
      </c>
      <c r="I15" s="1">
        <v>1</v>
      </c>
      <c r="J15" s="1">
        <v>1</v>
      </c>
      <c r="K15" s="1">
        <v>1</v>
      </c>
      <c r="L15" s="1">
        <v>1</v>
      </c>
      <c r="M15" s="1">
        <v>1</v>
      </c>
      <c r="N15">
        <v>1</v>
      </c>
      <c r="O15">
        <v>1</v>
      </c>
      <c r="P15">
        <v>1</v>
      </c>
      <c r="Q15">
        <v>1</v>
      </c>
      <c r="R15">
        <v>1</v>
      </c>
    </row>
    <row r="16" spans="1:18" x14ac:dyDescent="0.25">
      <c r="A16" s="50" t="s">
        <v>29</v>
      </c>
      <c r="B16" s="1">
        <v>1000</v>
      </c>
      <c r="C16" s="1">
        <v>0</v>
      </c>
      <c r="D16" s="1">
        <v>0</v>
      </c>
      <c r="E16" s="1">
        <v>800</v>
      </c>
      <c r="F16" s="1">
        <v>0</v>
      </c>
      <c r="G16" s="9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>
        <v>0</v>
      </c>
      <c r="O16">
        <v>0</v>
      </c>
      <c r="P16">
        <v>0</v>
      </c>
      <c r="Q16">
        <v>0</v>
      </c>
      <c r="R16">
        <v>0</v>
      </c>
    </row>
    <row r="17" spans="1:18" x14ac:dyDescent="0.25">
      <c r="A17" s="51" t="s">
        <v>30</v>
      </c>
      <c r="B17" s="1">
        <v>1.2</v>
      </c>
      <c r="C17" s="1">
        <v>0</v>
      </c>
      <c r="D17" s="1">
        <v>0</v>
      </c>
      <c r="E17" s="1">
        <v>1.2</v>
      </c>
      <c r="F17" s="1">
        <v>0</v>
      </c>
      <c r="G17" s="9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>
        <v>0</v>
      </c>
      <c r="O17">
        <v>0</v>
      </c>
      <c r="P17">
        <v>0</v>
      </c>
      <c r="Q17">
        <v>0</v>
      </c>
      <c r="R17">
        <v>0</v>
      </c>
    </row>
    <row r="18" spans="1:18" x14ac:dyDescent="0.25">
      <c r="A18" t="s">
        <v>21</v>
      </c>
      <c r="B18">
        <v>12</v>
      </c>
      <c r="C18">
        <v>10</v>
      </c>
      <c r="D18">
        <v>10</v>
      </c>
      <c r="E18">
        <v>10</v>
      </c>
      <c r="F18">
        <v>15</v>
      </c>
      <c r="G18" s="8">
        <v>3</v>
      </c>
      <c r="H18">
        <v>3</v>
      </c>
      <c r="I18">
        <v>3</v>
      </c>
      <c r="J18">
        <v>3</v>
      </c>
      <c r="K18">
        <v>3</v>
      </c>
      <c r="L18">
        <v>3</v>
      </c>
      <c r="M18">
        <v>3</v>
      </c>
      <c r="N18">
        <v>4</v>
      </c>
      <c r="O18">
        <v>3</v>
      </c>
      <c r="P18">
        <v>8</v>
      </c>
      <c r="Q18">
        <v>7</v>
      </c>
      <c r="R18">
        <v>7</v>
      </c>
    </row>
    <row r="19" spans="1:18" x14ac:dyDescent="0.25">
      <c r="A19" s="23" t="s">
        <v>22</v>
      </c>
      <c r="B19">
        <v>1</v>
      </c>
      <c r="C19">
        <v>1</v>
      </c>
      <c r="D19">
        <v>1</v>
      </c>
      <c r="E19">
        <v>1</v>
      </c>
      <c r="F19">
        <v>1</v>
      </c>
      <c r="G19" s="8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0.3</v>
      </c>
      <c r="O19">
        <v>0.3</v>
      </c>
      <c r="P19">
        <v>0.3</v>
      </c>
      <c r="Q19">
        <v>0.3</v>
      </c>
      <c r="R19">
        <v>1</v>
      </c>
    </row>
    <row r="20" spans="1:18" x14ac:dyDescent="0.25">
      <c r="A20" s="24" t="s">
        <v>23</v>
      </c>
      <c r="B20">
        <v>64</v>
      </c>
      <c r="C20">
        <v>100</v>
      </c>
      <c r="D20">
        <v>128</v>
      </c>
      <c r="E20">
        <v>180</v>
      </c>
      <c r="F20">
        <v>64</v>
      </c>
      <c r="G20" s="8">
        <v>110</v>
      </c>
      <c r="H20">
        <v>30</v>
      </c>
      <c r="I20">
        <v>40</v>
      </c>
      <c r="J20">
        <v>50</v>
      </c>
      <c r="K20">
        <v>60</v>
      </c>
      <c r="L20">
        <v>70</v>
      </c>
      <c r="M20">
        <v>64</v>
      </c>
      <c r="N20">
        <v>1</v>
      </c>
      <c r="O20">
        <v>32</v>
      </c>
      <c r="P20">
        <v>32</v>
      </c>
      <c r="Q20">
        <v>48</v>
      </c>
      <c r="R20">
        <v>1</v>
      </c>
    </row>
    <row r="21" spans="1:18" x14ac:dyDescent="0.25">
      <c r="A21" s="25" t="s">
        <v>40</v>
      </c>
      <c r="B21">
        <v>1</v>
      </c>
      <c r="C21">
        <v>1</v>
      </c>
      <c r="D21">
        <v>1</v>
      </c>
      <c r="E21">
        <v>2</v>
      </c>
      <c r="F21">
        <v>1</v>
      </c>
      <c r="G21" s="8">
        <v>4</v>
      </c>
      <c r="H21">
        <v>2</v>
      </c>
      <c r="I21">
        <v>1</v>
      </c>
      <c r="J21">
        <v>1</v>
      </c>
      <c r="K21">
        <v>1</v>
      </c>
      <c r="L21">
        <v>1</v>
      </c>
      <c r="M21">
        <v>4</v>
      </c>
      <c r="N21">
        <v>2</v>
      </c>
      <c r="O21">
        <v>3</v>
      </c>
      <c r="P21" s="6">
        <v>5</v>
      </c>
      <c r="Q21">
        <v>2</v>
      </c>
      <c r="R21">
        <v>1</v>
      </c>
    </row>
    <row r="22" spans="1:18" x14ac:dyDescent="0.25">
      <c r="A22" s="23" t="s">
        <v>77</v>
      </c>
      <c r="B22">
        <v>0</v>
      </c>
      <c r="C22">
        <v>0</v>
      </c>
      <c r="D22">
        <v>0</v>
      </c>
      <c r="E22">
        <v>0</v>
      </c>
      <c r="F22">
        <v>0</v>
      </c>
      <c r="G22" s="8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2</v>
      </c>
      <c r="O22">
        <v>2</v>
      </c>
      <c r="P22">
        <v>2</v>
      </c>
      <c r="Q22">
        <v>2</v>
      </c>
      <c r="R22">
        <v>2</v>
      </c>
    </row>
    <row r="23" spans="1:18" x14ac:dyDescent="0.25">
      <c r="A23" s="25" t="s">
        <v>78</v>
      </c>
      <c r="B23">
        <v>3</v>
      </c>
      <c r="C23">
        <v>3</v>
      </c>
      <c r="D23">
        <v>3</v>
      </c>
      <c r="E23">
        <v>3</v>
      </c>
      <c r="F23">
        <v>1</v>
      </c>
      <c r="G23" s="8">
        <v>1</v>
      </c>
      <c r="H23">
        <v>1</v>
      </c>
      <c r="I23">
        <v>1</v>
      </c>
      <c r="J23">
        <v>1</v>
      </c>
      <c r="K23">
        <v>1</v>
      </c>
      <c r="L23">
        <v>1</v>
      </c>
      <c r="M23">
        <v>1</v>
      </c>
      <c r="N23">
        <v>2</v>
      </c>
      <c r="O23">
        <v>2</v>
      </c>
      <c r="P23">
        <v>2</v>
      </c>
      <c r="Q23">
        <v>2</v>
      </c>
      <c r="R23">
        <v>2</v>
      </c>
    </row>
    <row r="24" spans="1:18" x14ac:dyDescent="0.25">
      <c r="A24" s="25" t="s">
        <v>26</v>
      </c>
      <c r="B24">
        <v>400</v>
      </c>
      <c r="C24">
        <v>250</v>
      </c>
      <c r="D24">
        <v>200</v>
      </c>
      <c r="E24">
        <v>300</v>
      </c>
      <c r="F24">
        <v>8</v>
      </c>
      <c r="G24" s="8">
        <v>400</v>
      </c>
      <c r="H24">
        <v>6</v>
      </c>
      <c r="I24">
        <v>10</v>
      </c>
      <c r="J24">
        <v>10</v>
      </c>
      <c r="K24">
        <v>10</v>
      </c>
      <c r="L24">
        <v>10</v>
      </c>
      <c r="M24">
        <v>10</v>
      </c>
      <c r="N24">
        <v>10</v>
      </c>
      <c r="O24">
        <v>5</v>
      </c>
      <c r="P24">
        <v>5</v>
      </c>
      <c r="Q24">
        <v>6</v>
      </c>
      <c r="R24">
        <v>50</v>
      </c>
    </row>
    <row r="25" spans="1:18" x14ac:dyDescent="0.25">
      <c r="A25" s="8" t="s">
        <v>92</v>
      </c>
      <c r="B25" s="8">
        <v>8</v>
      </c>
      <c r="C25" s="8">
        <v>20</v>
      </c>
      <c r="D25" s="8">
        <v>15</v>
      </c>
      <c r="E25" s="8">
        <v>10</v>
      </c>
      <c r="F25" s="8">
        <v>2</v>
      </c>
      <c r="G25" s="8">
        <v>2</v>
      </c>
      <c r="H25" s="8">
        <v>2</v>
      </c>
      <c r="I25" s="8">
        <v>2</v>
      </c>
      <c r="J25" s="8">
        <v>2</v>
      </c>
      <c r="K25" s="8">
        <v>2</v>
      </c>
      <c r="L25" s="8">
        <v>2</v>
      </c>
      <c r="M25" s="8">
        <v>2</v>
      </c>
      <c r="N25" s="8">
        <v>2</v>
      </c>
      <c r="O25" s="8">
        <v>2</v>
      </c>
      <c r="P25" s="8">
        <v>2</v>
      </c>
      <c r="Q25" s="8">
        <v>2</v>
      </c>
      <c r="R25" s="8">
        <v>2</v>
      </c>
    </row>
    <row r="26" spans="1:18" x14ac:dyDescent="0.25">
      <c r="A26" s="23" t="s">
        <v>55</v>
      </c>
      <c r="B26">
        <v>0</v>
      </c>
      <c r="C26">
        <v>0</v>
      </c>
      <c r="D26">
        <v>0</v>
      </c>
      <c r="E26">
        <v>0</v>
      </c>
      <c r="F26">
        <v>0</v>
      </c>
      <c r="G26" s="8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0.2</v>
      </c>
      <c r="O26">
        <v>0.4</v>
      </c>
      <c r="P26">
        <v>0.4</v>
      </c>
      <c r="Q26">
        <v>0.3</v>
      </c>
      <c r="R26">
        <v>0.2</v>
      </c>
    </row>
    <row r="27" spans="1:18" x14ac:dyDescent="0.25">
      <c r="A27" s="26" t="s">
        <v>24</v>
      </c>
      <c r="B27">
        <v>0.1</v>
      </c>
      <c r="C27">
        <v>0.1</v>
      </c>
      <c r="D27">
        <v>7.0000000000000007E-2</v>
      </c>
      <c r="E27">
        <v>0.03</v>
      </c>
      <c r="F27">
        <v>0.2</v>
      </c>
      <c r="G27" s="8">
        <v>0.1</v>
      </c>
      <c r="H27">
        <v>0.1</v>
      </c>
      <c r="I27">
        <v>0.1</v>
      </c>
      <c r="J27">
        <v>0.1</v>
      </c>
      <c r="K27">
        <v>0.1</v>
      </c>
      <c r="L27">
        <v>0.1</v>
      </c>
      <c r="M27">
        <v>0.1</v>
      </c>
      <c r="N27">
        <v>0.2</v>
      </c>
      <c r="O27">
        <v>0.2</v>
      </c>
      <c r="P27">
        <v>0.3</v>
      </c>
      <c r="Q27">
        <v>0.3</v>
      </c>
      <c r="R27">
        <v>0.2</v>
      </c>
    </row>
    <row r="28" spans="1:18" x14ac:dyDescent="0.25">
      <c r="A28" s="24" t="s">
        <v>88</v>
      </c>
      <c r="B28">
        <v>0.6</v>
      </c>
      <c r="C28">
        <v>0.5</v>
      </c>
      <c r="D28">
        <v>0.5</v>
      </c>
      <c r="E28">
        <v>0.5</v>
      </c>
      <c r="F28">
        <v>0.6</v>
      </c>
      <c r="G28">
        <v>0.6</v>
      </c>
      <c r="H28">
        <v>0.7</v>
      </c>
      <c r="I28">
        <v>0.7</v>
      </c>
      <c r="J28">
        <v>0.7</v>
      </c>
      <c r="K28">
        <v>0.7</v>
      </c>
      <c r="L28">
        <v>0.7</v>
      </c>
      <c r="M28">
        <v>0.6</v>
      </c>
      <c r="N28">
        <v>0.6</v>
      </c>
      <c r="O28">
        <v>0.8</v>
      </c>
      <c r="P28">
        <v>0.5</v>
      </c>
      <c r="Q28">
        <v>0.5</v>
      </c>
      <c r="R28">
        <v>0.6</v>
      </c>
    </row>
    <row r="29" spans="1:18" x14ac:dyDescent="0.25">
      <c r="A29" s="38" t="s">
        <v>56</v>
      </c>
      <c r="B29" s="34">
        <v>0.5</v>
      </c>
      <c r="C29" s="34">
        <v>1</v>
      </c>
      <c r="D29" s="34">
        <v>1</v>
      </c>
      <c r="E29" s="34">
        <v>1</v>
      </c>
      <c r="F29" s="34">
        <v>0.5</v>
      </c>
      <c r="G29" s="34">
        <v>1</v>
      </c>
      <c r="H29" s="34">
        <v>1.2</v>
      </c>
      <c r="I29" s="34">
        <v>1.5</v>
      </c>
      <c r="J29" s="34">
        <v>1.3</v>
      </c>
      <c r="K29" s="34">
        <v>1.3</v>
      </c>
      <c r="L29" s="34">
        <v>1.2</v>
      </c>
      <c r="M29" s="34">
        <v>1.5</v>
      </c>
      <c r="N29">
        <v>0</v>
      </c>
      <c r="O29">
        <v>0</v>
      </c>
      <c r="P29">
        <v>0</v>
      </c>
      <c r="Q29">
        <v>0</v>
      </c>
      <c r="R29">
        <v>0</v>
      </c>
    </row>
    <row r="30" spans="1:18" x14ac:dyDescent="0.25">
      <c r="A30" s="39" t="s">
        <v>82</v>
      </c>
      <c r="B30" s="34">
        <v>0.8</v>
      </c>
      <c r="C30" s="34">
        <v>0.9</v>
      </c>
      <c r="D30" s="34">
        <v>0.7</v>
      </c>
      <c r="E30" s="34">
        <v>0.4</v>
      </c>
      <c r="F30" s="35">
        <v>0.5</v>
      </c>
      <c r="G30" s="36">
        <v>0.15</v>
      </c>
      <c r="H30" s="34">
        <v>0.4</v>
      </c>
      <c r="I30" s="34">
        <v>0.04</v>
      </c>
      <c r="J30" s="34">
        <v>0.04</v>
      </c>
      <c r="K30" s="34">
        <v>0.04</v>
      </c>
      <c r="L30" s="34">
        <v>0.04</v>
      </c>
      <c r="M30" s="34">
        <v>0.04</v>
      </c>
      <c r="N30" s="37">
        <v>0.3</v>
      </c>
      <c r="O30" s="34">
        <v>0.1</v>
      </c>
      <c r="P30" s="34">
        <v>0.2</v>
      </c>
      <c r="Q30" s="34">
        <v>0.3</v>
      </c>
      <c r="R30" s="34">
        <v>0.1</v>
      </c>
    </row>
    <row r="31" spans="1:18" x14ac:dyDescent="0.25">
      <c r="A31" s="40" t="s">
        <v>51</v>
      </c>
      <c r="B31" s="34">
        <v>0.4</v>
      </c>
      <c r="C31" s="34">
        <v>0.7</v>
      </c>
      <c r="D31" s="34">
        <v>0.5</v>
      </c>
      <c r="E31" s="34">
        <v>0.2</v>
      </c>
      <c r="F31" s="35">
        <v>0.5</v>
      </c>
      <c r="G31" s="36">
        <v>0.1</v>
      </c>
      <c r="H31" s="35">
        <v>0.3</v>
      </c>
      <c r="I31" s="34">
        <v>0.4</v>
      </c>
      <c r="J31" s="34">
        <v>0.5</v>
      </c>
      <c r="K31" s="34">
        <v>0.6</v>
      </c>
      <c r="L31" s="34">
        <v>0.5</v>
      </c>
      <c r="M31" s="34">
        <v>0.4</v>
      </c>
      <c r="N31" s="37">
        <v>0.05</v>
      </c>
      <c r="O31" s="34">
        <v>0.05</v>
      </c>
      <c r="P31" s="34">
        <v>0.05</v>
      </c>
      <c r="Q31" s="34">
        <v>0.06</v>
      </c>
      <c r="R31" s="34">
        <v>0.12</v>
      </c>
    </row>
    <row r="32" spans="1:18" x14ac:dyDescent="0.25">
      <c r="A32" s="41" t="s">
        <v>27</v>
      </c>
      <c r="B32" s="1">
        <v>20</v>
      </c>
      <c r="C32" s="1">
        <v>24</v>
      </c>
      <c r="D32" s="1">
        <v>20</v>
      </c>
      <c r="E32" s="1">
        <v>27</v>
      </c>
      <c r="F32" s="1">
        <v>20</v>
      </c>
      <c r="G32" s="9">
        <v>20</v>
      </c>
      <c r="H32" s="1">
        <v>25</v>
      </c>
      <c r="I32" s="1">
        <v>20</v>
      </c>
      <c r="J32" s="1">
        <v>20</v>
      </c>
      <c r="K32" s="1">
        <v>20</v>
      </c>
      <c r="L32" s="1">
        <v>20</v>
      </c>
      <c r="M32" s="1">
        <v>-10</v>
      </c>
      <c r="N32" s="7">
        <v>0</v>
      </c>
      <c r="O32" s="7">
        <v>15</v>
      </c>
      <c r="P32" s="7">
        <v>15</v>
      </c>
      <c r="Q32" s="7">
        <v>15</v>
      </c>
      <c r="R32" s="7">
        <v>0</v>
      </c>
    </row>
    <row r="33" spans="1:18" x14ac:dyDescent="0.25">
      <c r="A33" s="42" t="s">
        <v>39</v>
      </c>
      <c r="B33" s="1">
        <v>8</v>
      </c>
      <c r="C33" s="1">
        <v>3</v>
      </c>
      <c r="D33" s="9">
        <v>5</v>
      </c>
      <c r="E33" s="1">
        <v>5</v>
      </c>
      <c r="F33" s="1">
        <v>10</v>
      </c>
      <c r="G33" s="9">
        <v>10</v>
      </c>
      <c r="H33" s="1">
        <v>8</v>
      </c>
      <c r="I33" s="1">
        <v>5</v>
      </c>
      <c r="J33" s="1">
        <v>5</v>
      </c>
      <c r="K33" s="1">
        <v>5</v>
      </c>
      <c r="L33" s="1">
        <v>5</v>
      </c>
      <c r="M33" s="1">
        <v>20</v>
      </c>
      <c r="N33" s="7">
        <v>50</v>
      </c>
      <c r="O33" s="7">
        <v>15</v>
      </c>
      <c r="P33" s="7">
        <v>15</v>
      </c>
      <c r="Q33" s="7">
        <v>14</v>
      </c>
      <c r="R33" s="7">
        <v>50</v>
      </c>
    </row>
    <row r="34" spans="1:18" x14ac:dyDescent="0.25">
      <c r="A34" s="43" t="s">
        <v>52</v>
      </c>
      <c r="B34" s="1">
        <v>0</v>
      </c>
      <c r="C34" s="1">
        <v>0</v>
      </c>
      <c r="D34" s="1">
        <v>0</v>
      </c>
      <c r="E34" s="1">
        <v>0</v>
      </c>
      <c r="F34" s="1">
        <v>0</v>
      </c>
      <c r="G34" s="9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</row>
    <row r="35" spans="1:18" x14ac:dyDescent="0.25">
      <c r="A35" s="44" t="s">
        <v>53</v>
      </c>
      <c r="B35" s="9">
        <v>0.9</v>
      </c>
      <c r="C35" s="9">
        <v>0.9</v>
      </c>
      <c r="D35" s="9">
        <v>0.7</v>
      </c>
      <c r="E35" s="9">
        <v>0.7</v>
      </c>
      <c r="F35" s="9">
        <v>0.1</v>
      </c>
      <c r="G35" s="9">
        <v>0.7</v>
      </c>
      <c r="H35" s="9">
        <v>0.7</v>
      </c>
      <c r="I35" s="9">
        <v>0.7</v>
      </c>
      <c r="J35" s="9">
        <v>0.7</v>
      </c>
      <c r="K35" s="9">
        <v>0.7</v>
      </c>
      <c r="L35" s="9">
        <v>0.7</v>
      </c>
      <c r="M35" s="9">
        <v>0.9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</row>
    <row r="36" spans="1:18" x14ac:dyDescent="0.25">
      <c r="A36" s="45" t="s">
        <v>54</v>
      </c>
      <c r="B36" s="1">
        <v>0</v>
      </c>
      <c r="C36" s="1">
        <v>0</v>
      </c>
      <c r="D36" s="1">
        <v>0</v>
      </c>
      <c r="E36" s="1">
        <v>0</v>
      </c>
      <c r="F36" s="1">
        <v>0</v>
      </c>
      <c r="G36" s="9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</row>
    <row r="37" spans="1:18" x14ac:dyDescent="0.25">
      <c r="A37" s="6" t="s">
        <v>33</v>
      </c>
      <c r="B37">
        <v>0</v>
      </c>
      <c r="C37">
        <v>0</v>
      </c>
      <c r="D37">
        <v>0</v>
      </c>
      <c r="E37">
        <v>0</v>
      </c>
      <c r="F37">
        <v>0</v>
      </c>
      <c r="G37" s="8">
        <v>1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</row>
    <row r="38" spans="1:18" x14ac:dyDescent="0.25">
      <c r="A38" s="27" t="s">
        <v>83</v>
      </c>
      <c r="B38" s="6">
        <v>3</v>
      </c>
      <c r="C38" s="6">
        <v>5</v>
      </c>
      <c r="D38" s="6">
        <v>5</v>
      </c>
      <c r="E38" s="6">
        <v>5</v>
      </c>
      <c r="F38" s="6">
        <v>4</v>
      </c>
      <c r="G38" s="6">
        <v>200</v>
      </c>
      <c r="H38" s="6">
        <v>4</v>
      </c>
      <c r="I38" s="6">
        <v>4</v>
      </c>
      <c r="J38" s="6">
        <v>4</v>
      </c>
      <c r="K38" s="6">
        <v>4</v>
      </c>
      <c r="L38" s="6">
        <v>4</v>
      </c>
      <c r="M38" s="6">
        <v>0.2</v>
      </c>
      <c r="N38" s="6">
        <v>2</v>
      </c>
      <c r="O38" s="6">
        <v>0.5</v>
      </c>
      <c r="P38" s="6">
        <v>0.2</v>
      </c>
      <c r="Q38" s="6">
        <v>0.2</v>
      </c>
      <c r="R38" s="6">
        <v>5</v>
      </c>
    </row>
    <row r="39" spans="1:18" x14ac:dyDescent="0.25">
      <c r="A39" s="6"/>
    </row>
    <row r="40" spans="1:18" x14ac:dyDescent="0.25">
      <c r="A40" s="6"/>
      <c r="G40" s="6"/>
    </row>
    <row r="41" spans="1:18" x14ac:dyDescent="0.25">
      <c r="A41" s="6"/>
      <c r="G41" s="6"/>
    </row>
    <row r="42" spans="1:18" x14ac:dyDescent="0.25">
      <c r="A42" s="3" t="s">
        <v>1</v>
      </c>
      <c r="B42" s="4"/>
      <c r="C42" s="4"/>
      <c r="D42" s="4"/>
      <c r="E42" s="4"/>
      <c r="F42" s="4"/>
      <c r="G42" s="13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</row>
    <row r="43" spans="1:18" s="5" customFormat="1" ht="45" x14ac:dyDescent="0.25">
      <c r="A43" s="5" t="s">
        <v>42</v>
      </c>
      <c r="E43" s="14" t="s">
        <v>50</v>
      </c>
      <c r="F43" s="14" t="s">
        <v>43</v>
      </c>
      <c r="G43" s="14"/>
      <c r="H43" s="14"/>
      <c r="I43" s="14"/>
      <c r="J43" s="14"/>
      <c r="K43" s="14"/>
      <c r="L43" s="14"/>
      <c r="M43" s="14" t="s">
        <v>44</v>
      </c>
    </row>
    <row r="44" spans="1:18" x14ac:dyDescent="0.25">
      <c r="G44" s="6"/>
    </row>
    <row r="45" spans="1:18" x14ac:dyDescent="0.25">
      <c r="A45" t="s">
        <v>87</v>
      </c>
      <c r="B45" s="28" t="str">
        <f>+B5</f>
        <v>PRODUCER</v>
      </c>
      <c r="C45" s="28" t="str">
        <f>+C5</f>
        <v>PRODUCER</v>
      </c>
      <c r="D45" s="28" t="str">
        <f>+D5</f>
        <v>PRODUCER</v>
      </c>
      <c r="E45" s="28" t="str">
        <f>+E5</f>
        <v>PRODUCER</v>
      </c>
      <c r="F45" s="28" t="str">
        <f>+F5</f>
        <v>PRODUCER</v>
      </c>
      <c r="G45" s="28" t="str">
        <f>+G5</f>
        <v>PRODUCER</v>
      </c>
      <c r="H45" s="28" t="str">
        <f>+H5</f>
        <v>PRODUCER</v>
      </c>
      <c r="I45" s="28" t="str">
        <f>+I5</f>
        <v>PRODUCER</v>
      </c>
      <c r="J45" s="28" t="str">
        <f>+J5</f>
        <v>PRODUCER</v>
      </c>
      <c r="K45" s="28" t="str">
        <f>+K5</f>
        <v>PRODUCER</v>
      </c>
      <c r="L45" s="28" t="str">
        <f>+L5</f>
        <v>PRODUCER</v>
      </c>
      <c r="M45" s="28" t="str">
        <f>+M5</f>
        <v>PRODUCER</v>
      </c>
      <c r="N45" s="29" t="str">
        <f>+N5</f>
        <v>PRIMARY</v>
      </c>
      <c r="O45" s="29" t="str">
        <f>+O5</f>
        <v>PRIMARY</v>
      </c>
      <c r="P45" s="29" t="str">
        <f>+P5</f>
        <v>PRIMARY</v>
      </c>
      <c r="Q45" s="29" t="str">
        <f>+Q5</f>
        <v>PRIMARY</v>
      </c>
      <c r="R45" s="30" t="str">
        <f>+R5</f>
        <v>SECONDARY</v>
      </c>
    </row>
    <row r="46" spans="1:18" x14ac:dyDescent="0.25">
      <c r="A46" t="s">
        <v>37</v>
      </c>
      <c r="B46" s="15">
        <f t="shared" ref="B46" si="0">+B31/B30/$B$2/$B$3</f>
        <v>2.7777777777777776E-2</v>
      </c>
      <c r="C46" s="15">
        <f>+C31/C30/$B$2/$B$3</f>
        <v>4.3209876543209867E-2</v>
      </c>
      <c r="D46" s="15">
        <f t="shared" ref="D46:M46" si="1">+D31/D30/$B$2/$B$3</f>
        <v>3.968253968253968E-2</v>
      </c>
      <c r="E46" s="15">
        <f t="shared" si="1"/>
        <v>2.7777777777777776E-2</v>
      </c>
      <c r="F46" s="15">
        <f t="shared" si="1"/>
        <v>5.5555555555555552E-2</v>
      </c>
      <c r="G46" s="15">
        <f t="shared" si="1"/>
        <v>3.7037037037037042E-2</v>
      </c>
      <c r="H46" s="15">
        <f>+H31/H30/$B$2/$B$3</f>
        <v>4.1666666666666657E-2</v>
      </c>
      <c r="I46" s="15">
        <f t="shared" ref="I46:K46" si="2">+I31/I30/$B$2/$B$3</f>
        <v>0.55555555555555547</v>
      </c>
      <c r="J46" s="15">
        <f t="shared" si="2"/>
        <v>0.69444444444444442</v>
      </c>
      <c r="K46" s="15">
        <f t="shared" si="2"/>
        <v>0.83333333333333326</v>
      </c>
      <c r="L46" s="15">
        <f t="shared" si="1"/>
        <v>0.69444444444444442</v>
      </c>
      <c r="M46" s="15">
        <f t="shared" si="1"/>
        <v>0.55555555555555547</v>
      </c>
      <c r="N46" s="31">
        <f>+N26</f>
        <v>0.2</v>
      </c>
      <c r="O46" s="31">
        <f>+O26</f>
        <v>0.4</v>
      </c>
      <c r="P46" s="31">
        <f>+P26</f>
        <v>0.4</v>
      </c>
      <c r="Q46" s="31">
        <f>+Q26</f>
        <v>0.3</v>
      </c>
      <c r="R46" s="31">
        <f>+R26</f>
        <v>0.2</v>
      </c>
    </row>
    <row r="47" spans="1:18" x14ac:dyDescent="0.25">
      <c r="G47" s="6"/>
    </row>
    <row r="48" spans="1:18" x14ac:dyDescent="0.25">
      <c r="A48" t="s">
        <v>94</v>
      </c>
      <c r="B48" s="18">
        <f>+B46*B24*$B$3*$B$2*B29</f>
        <v>100</v>
      </c>
      <c r="C48" s="18">
        <f t="shared" ref="C48:M48" si="3">+C46*C24*$B$3*$B$2*C29</f>
        <v>194.4444444444444</v>
      </c>
      <c r="D48" s="18">
        <f t="shared" si="3"/>
        <v>142.85714285714286</v>
      </c>
      <c r="E48" s="18">
        <f t="shared" si="3"/>
        <v>150</v>
      </c>
      <c r="F48" s="18">
        <f t="shared" si="3"/>
        <v>4</v>
      </c>
      <c r="G48" s="18">
        <f t="shared" si="3"/>
        <v>266.66666666666674</v>
      </c>
      <c r="H48" s="18">
        <f>+H46*H24*$B$3*$B$2*H29</f>
        <v>5.3999999999999986</v>
      </c>
      <c r="I48" s="18">
        <f t="shared" ref="I48:K48" si="4">+I46*I24*$B$3*$B$2*I29</f>
        <v>149.99999999999997</v>
      </c>
      <c r="J48" s="18">
        <f t="shared" si="4"/>
        <v>162.50000000000003</v>
      </c>
      <c r="K48" s="18">
        <f t="shared" si="4"/>
        <v>195</v>
      </c>
      <c r="L48" s="18">
        <f t="shared" si="3"/>
        <v>150</v>
      </c>
      <c r="M48" s="18">
        <f t="shared" si="3"/>
        <v>149.99999999999997</v>
      </c>
      <c r="N48" s="53">
        <f>+N46*N24</f>
        <v>2</v>
      </c>
      <c r="O48" s="53">
        <f>+O46*O24</f>
        <v>2</v>
      </c>
      <c r="P48" s="53">
        <f>+P46*P24</f>
        <v>2</v>
      </c>
      <c r="Q48" s="53">
        <f>+Q46*Q24</f>
        <v>1.7999999999999998</v>
      </c>
      <c r="R48" s="53">
        <f>+R46*R24</f>
        <v>10</v>
      </c>
    </row>
    <row r="49" spans="1:18" x14ac:dyDescent="0.25">
      <c r="A49" t="s">
        <v>75</v>
      </c>
      <c r="B49" s="19">
        <f>+B30*B46*$B$3*B29*B24*$B$2</f>
        <v>80</v>
      </c>
      <c r="C49" s="19">
        <f t="shared" ref="C49:M49" si="5">+C30*C46*$B$3*C29*C24*$B$2</f>
        <v>174.99999999999997</v>
      </c>
      <c r="D49" s="19">
        <f t="shared" si="5"/>
        <v>99.999999999999986</v>
      </c>
      <c r="E49" s="19">
        <f t="shared" si="5"/>
        <v>60</v>
      </c>
      <c r="F49" s="19">
        <f t="shared" si="5"/>
        <v>2</v>
      </c>
      <c r="G49" s="19">
        <f t="shared" si="5"/>
        <v>40</v>
      </c>
      <c r="H49" s="19">
        <f>+H30*H46*$B$3*H29*H24*$B$2</f>
        <v>2.1599999999999993</v>
      </c>
      <c r="I49" s="19">
        <f t="shared" ref="I49:K49" si="6">+I30*I46*$B$3*I29*I24*$B$2</f>
        <v>6</v>
      </c>
      <c r="J49" s="19">
        <f t="shared" si="6"/>
        <v>6.5000000000000009</v>
      </c>
      <c r="K49" s="19">
        <f t="shared" si="6"/>
        <v>7.8000000000000016</v>
      </c>
      <c r="L49" s="19">
        <f t="shared" si="5"/>
        <v>6</v>
      </c>
      <c r="M49" s="19">
        <f t="shared" si="5"/>
        <v>6</v>
      </c>
      <c r="N49" s="32">
        <f>+N48*N30</f>
        <v>0.6</v>
      </c>
      <c r="O49" s="32">
        <f>+O48*O30</f>
        <v>0.2</v>
      </c>
      <c r="P49" s="32">
        <f>+P48*P30</f>
        <v>0.4</v>
      </c>
      <c r="Q49" s="32">
        <f>+Q48*Q30</f>
        <v>0.53999999999999992</v>
      </c>
      <c r="R49" s="32">
        <f>+R48*R30</f>
        <v>1</v>
      </c>
    </row>
    <row r="50" spans="1:18" x14ac:dyDescent="0.25">
      <c r="A50" t="s">
        <v>74</v>
      </c>
      <c r="B50" s="19">
        <f t="shared" ref="B50:F50" si="7">+B31*B24</f>
        <v>160</v>
      </c>
      <c r="C50" s="19">
        <f t="shared" si="7"/>
        <v>175</v>
      </c>
      <c r="D50" s="19">
        <f t="shared" si="7"/>
        <v>100</v>
      </c>
      <c r="E50" s="19">
        <f t="shared" si="7"/>
        <v>60</v>
      </c>
      <c r="F50" s="19">
        <f t="shared" si="7"/>
        <v>4</v>
      </c>
      <c r="G50" s="19">
        <f>+G31*G24</f>
        <v>40</v>
      </c>
      <c r="H50" s="19">
        <f>+H31*H24</f>
        <v>1.7999999999999998</v>
      </c>
      <c r="I50" s="19">
        <f t="shared" ref="I50:K50" si="8">+I31*I24</f>
        <v>4</v>
      </c>
      <c r="J50" s="19">
        <f t="shared" si="8"/>
        <v>5</v>
      </c>
      <c r="K50" s="19">
        <f t="shared" si="8"/>
        <v>6</v>
      </c>
      <c r="L50" s="19">
        <f t="shared" ref="L50:M50" si="9">+L31*L24</f>
        <v>5</v>
      </c>
      <c r="M50" s="19">
        <f t="shared" si="9"/>
        <v>4</v>
      </c>
      <c r="N50" s="32">
        <f t="shared" ref="N50:R50" si="10">+N31*N24</f>
        <v>0.5</v>
      </c>
      <c r="O50" s="32">
        <f t="shared" si="10"/>
        <v>0.25</v>
      </c>
      <c r="P50" s="32">
        <f t="shared" si="10"/>
        <v>0.25</v>
      </c>
      <c r="Q50" s="32">
        <f t="shared" si="10"/>
        <v>0.36</v>
      </c>
      <c r="R50" s="32">
        <f t="shared" si="10"/>
        <v>6</v>
      </c>
    </row>
    <row r="51" spans="1:18" x14ac:dyDescent="0.25">
      <c r="H51" t="s">
        <v>86</v>
      </c>
    </row>
  </sheetData>
  <conditionalFormatting sqref="O6">
    <cfRule type="duplicateValues" dxfId="20" priority="31"/>
  </conditionalFormatting>
  <conditionalFormatting sqref="R6">
    <cfRule type="duplicateValues" dxfId="19" priority="30"/>
  </conditionalFormatting>
  <conditionalFormatting sqref="F6">
    <cfRule type="duplicateValues" dxfId="18" priority="29"/>
  </conditionalFormatting>
  <conditionalFormatting sqref="H6 M6:N6 B6:C6 E6">
    <cfRule type="duplicateValues" dxfId="17" priority="36"/>
  </conditionalFormatting>
  <conditionalFormatting sqref="L6">
    <cfRule type="duplicateValues" dxfId="16" priority="26"/>
  </conditionalFormatting>
  <conditionalFormatting sqref="L6">
    <cfRule type="duplicateValues" dxfId="15" priority="27"/>
  </conditionalFormatting>
  <conditionalFormatting sqref="D6">
    <cfRule type="duplicateValues" dxfId="14" priority="24"/>
  </conditionalFormatting>
  <conditionalFormatting sqref="D6">
    <cfRule type="duplicateValues" dxfId="13" priority="25"/>
  </conditionalFormatting>
  <conditionalFormatting sqref="C6">
    <cfRule type="duplicateValues" dxfId="12" priority="23"/>
  </conditionalFormatting>
  <conditionalFormatting sqref="G6">
    <cfRule type="duplicateValues" dxfId="11" priority="11"/>
  </conditionalFormatting>
  <conditionalFormatting sqref="P6">
    <cfRule type="duplicateValues" dxfId="10" priority="10"/>
  </conditionalFormatting>
  <conditionalFormatting sqref="P6">
    <cfRule type="duplicateValues" dxfId="9" priority="9"/>
  </conditionalFormatting>
  <conditionalFormatting sqref="Q6">
    <cfRule type="duplicateValues" dxfId="8" priority="8"/>
  </conditionalFormatting>
  <conditionalFormatting sqref="Q6">
    <cfRule type="duplicateValues" dxfId="7" priority="7"/>
  </conditionalFormatting>
  <conditionalFormatting sqref="I6">
    <cfRule type="duplicateValues" dxfId="6" priority="5"/>
  </conditionalFormatting>
  <conditionalFormatting sqref="I6">
    <cfRule type="duplicateValues" dxfId="5" priority="6"/>
  </conditionalFormatting>
  <conditionalFormatting sqref="M6:O6 E6:F6 H6 B6:C6 R6">
    <cfRule type="duplicateValues" dxfId="4" priority="37"/>
  </conditionalFormatting>
  <conditionalFormatting sqref="J6">
    <cfRule type="duplicateValues" dxfId="3" priority="3"/>
  </conditionalFormatting>
  <conditionalFormatting sqref="J6">
    <cfRule type="duplicateValues" dxfId="2" priority="4"/>
  </conditionalFormatting>
  <conditionalFormatting sqref="K6">
    <cfRule type="duplicateValues" dxfId="1" priority="1"/>
  </conditionalFormatting>
  <conditionalFormatting sqref="K6">
    <cfRule type="duplicateValues" dxfId="0" priority="2"/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2DCFE51-E5A0-46C0-BA78-677466E1BE10}">
          <x14:formula1>
            <xm:f>Tables!$A$31:$A$34</xm:f>
          </x14:formula1>
          <xm:sqref>B5:R5</xm:sqref>
        </x14:dataValidation>
        <x14:dataValidation type="list" allowBlank="1" showInputMessage="1" showErrorMessage="1" xr:uid="{B3D47E63-4CCF-498A-86C2-6290C49D352E}">
          <x14:formula1>
            <xm:f>Tables!$A$4:$A$25</xm:f>
          </x14:formula1>
          <xm:sqref>B6:R6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BAD23-665C-45A0-A2F6-8BFEBBDF1CAA}">
  <sheetPr codeName="Hoja2"/>
  <dimension ref="A4:C34"/>
  <sheetViews>
    <sheetView topLeftCell="A10" workbookViewId="0">
      <selection activeCell="A23" sqref="A23"/>
    </sheetView>
  </sheetViews>
  <sheetFormatPr baseColWidth="10" defaultRowHeight="15" x14ac:dyDescent="0.25"/>
  <cols>
    <col min="1" max="1" width="23.28515625" customWidth="1"/>
    <col min="2" max="2" width="12" customWidth="1"/>
  </cols>
  <sheetData>
    <row r="4" spans="1:3" x14ac:dyDescent="0.25">
      <c r="A4" t="s">
        <v>4</v>
      </c>
      <c r="B4" t="s">
        <v>5</v>
      </c>
    </row>
    <row r="5" spans="1:3" x14ac:dyDescent="0.25">
      <c r="A5" t="s">
        <v>10</v>
      </c>
      <c r="B5">
        <v>0</v>
      </c>
      <c r="C5" t="s">
        <v>2</v>
      </c>
    </row>
    <row r="6" spans="1:3" x14ac:dyDescent="0.25">
      <c r="A6" t="s">
        <v>11</v>
      </c>
      <c r="B6">
        <v>1</v>
      </c>
    </row>
    <row r="7" spans="1:3" x14ac:dyDescent="0.25">
      <c r="A7" t="s">
        <v>41</v>
      </c>
      <c r="B7">
        <v>2</v>
      </c>
    </row>
    <row r="8" spans="1:3" x14ac:dyDescent="0.25">
      <c r="A8" t="s">
        <v>47</v>
      </c>
      <c r="B8">
        <v>3</v>
      </c>
    </row>
    <row r="9" spans="1:3" x14ac:dyDescent="0.25">
      <c r="A9" t="s">
        <v>12</v>
      </c>
      <c r="B9">
        <v>4</v>
      </c>
    </row>
    <row r="10" spans="1:3" x14ac:dyDescent="0.25">
      <c r="A10" t="s">
        <v>13</v>
      </c>
      <c r="B10">
        <v>5</v>
      </c>
    </row>
    <row r="11" spans="1:3" x14ac:dyDescent="0.25">
      <c r="A11" t="s">
        <v>14</v>
      </c>
      <c r="B11">
        <v>6</v>
      </c>
    </row>
    <row r="12" spans="1:3" x14ac:dyDescent="0.25">
      <c r="A12" t="s">
        <v>15</v>
      </c>
      <c r="B12">
        <v>7</v>
      </c>
    </row>
    <row r="13" spans="1:3" x14ac:dyDescent="0.25">
      <c r="A13" t="s">
        <v>3</v>
      </c>
      <c r="B13">
        <v>8</v>
      </c>
    </row>
    <row r="14" spans="1:3" x14ac:dyDescent="0.25">
      <c r="A14" t="s">
        <v>36</v>
      </c>
      <c r="B14">
        <v>9</v>
      </c>
    </row>
    <row r="15" spans="1:3" x14ac:dyDescent="0.25">
      <c r="A15" t="s">
        <v>45</v>
      </c>
      <c r="B15">
        <v>10</v>
      </c>
    </row>
    <row r="16" spans="1:3" x14ac:dyDescent="0.25">
      <c r="A16" t="s">
        <v>90</v>
      </c>
      <c r="B16">
        <v>11</v>
      </c>
    </row>
    <row r="17" spans="1:2" x14ac:dyDescent="0.25">
      <c r="A17" t="s">
        <v>71</v>
      </c>
      <c r="B17">
        <v>12</v>
      </c>
    </row>
    <row r="18" spans="1:2" x14ac:dyDescent="0.25">
      <c r="A18" t="s">
        <v>80</v>
      </c>
      <c r="B18">
        <v>13</v>
      </c>
    </row>
    <row r="19" spans="1:2" x14ac:dyDescent="0.25">
      <c r="A19" t="s">
        <v>84</v>
      </c>
      <c r="B19">
        <v>14</v>
      </c>
    </row>
    <row r="20" spans="1:2" x14ac:dyDescent="0.25">
      <c r="A20" t="s">
        <v>95</v>
      </c>
      <c r="B20">
        <v>15</v>
      </c>
    </row>
    <row r="21" spans="1:2" x14ac:dyDescent="0.25">
      <c r="A21" t="s">
        <v>98</v>
      </c>
      <c r="B21">
        <v>16</v>
      </c>
    </row>
    <row r="22" spans="1:2" x14ac:dyDescent="0.25">
      <c r="A22" t="s">
        <v>99</v>
      </c>
      <c r="B22">
        <v>17</v>
      </c>
    </row>
    <row r="23" spans="1:2" x14ac:dyDescent="0.25">
      <c r="A23" t="s">
        <v>97</v>
      </c>
    </row>
    <row r="24" spans="1:2" x14ac:dyDescent="0.25">
      <c r="A24" t="s">
        <v>97</v>
      </c>
    </row>
    <row r="25" spans="1:2" x14ac:dyDescent="0.25">
      <c r="A25" s="6" t="s">
        <v>96</v>
      </c>
      <c r="B25">
        <v>99</v>
      </c>
    </row>
    <row r="31" spans="1:2" x14ac:dyDescent="0.25">
      <c r="A31" t="s">
        <v>7</v>
      </c>
      <c r="B31" t="s">
        <v>5</v>
      </c>
    </row>
    <row r="32" spans="1:2" x14ac:dyDescent="0.25">
      <c r="A32" t="s">
        <v>8</v>
      </c>
      <c r="B32">
        <v>0</v>
      </c>
    </row>
    <row r="33" spans="1:2" x14ac:dyDescent="0.25">
      <c r="A33" t="s">
        <v>9</v>
      </c>
      <c r="B33">
        <v>1</v>
      </c>
    </row>
    <row r="34" spans="1:2" x14ac:dyDescent="0.25">
      <c r="A34" t="s">
        <v>6</v>
      </c>
      <c r="B34">
        <v>2</v>
      </c>
    </row>
  </sheetData>
  <pageMargins left="0.7" right="0.7" top="0.75" bottom="0.75" header="0.3" footer="0.3"/>
  <pageSetup paperSize="9" orientation="portrait" horizontalDpi="0" verticalDpi="0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08F63-CD92-41DE-B855-9BA4093DE986}">
  <sheetPr codeName="Hoja3"/>
  <dimension ref="A1:G18"/>
  <sheetViews>
    <sheetView workbookViewId="0">
      <selection activeCell="F11" sqref="F11"/>
    </sheetView>
  </sheetViews>
  <sheetFormatPr baseColWidth="10" defaultRowHeight="15" x14ac:dyDescent="0.25"/>
  <sheetData>
    <row r="1" spans="1:7" x14ac:dyDescent="0.25">
      <c r="B1" t="s">
        <v>64</v>
      </c>
      <c r="C1" t="s">
        <v>65</v>
      </c>
      <c r="E1" t="s">
        <v>64</v>
      </c>
      <c r="F1" t="s">
        <v>66</v>
      </c>
    </row>
    <row r="2" spans="1:7" x14ac:dyDescent="0.25">
      <c r="A2" t="s">
        <v>59</v>
      </c>
      <c r="B2">
        <v>0</v>
      </c>
      <c r="C2">
        <v>2</v>
      </c>
      <c r="E2">
        <v>0.2</v>
      </c>
      <c r="F2">
        <v>0</v>
      </c>
    </row>
    <row r="3" spans="1:7" x14ac:dyDescent="0.25">
      <c r="A3" t="s">
        <v>60</v>
      </c>
      <c r="B3">
        <v>1.5</v>
      </c>
      <c r="C3">
        <v>3</v>
      </c>
      <c r="E3">
        <v>0.3</v>
      </c>
      <c r="F3">
        <v>1</v>
      </c>
    </row>
    <row r="4" spans="1:7" x14ac:dyDescent="0.25">
      <c r="A4" t="s">
        <v>61</v>
      </c>
      <c r="B4">
        <v>2.5</v>
      </c>
      <c r="C4">
        <v>0</v>
      </c>
      <c r="E4">
        <v>0.4</v>
      </c>
      <c r="F4">
        <v>2</v>
      </c>
    </row>
    <row r="5" spans="1:7" x14ac:dyDescent="0.25">
      <c r="A5" t="s">
        <v>62</v>
      </c>
      <c r="B5">
        <v>9999999</v>
      </c>
      <c r="C5">
        <v>1</v>
      </c>
      <c r="E5">
        <v>9999999</v>
      </c>
      <c r="F5">
        <v>3</v>
      </c>
    </row>
    <row r="10" spans="1:7" s="5" customFormat="1" ht="60" x14ac:dyDescent="0.25">
      <c r="B10" s="5" t="s">
        <v>28</v>
      </c>
      <c r="C10" s="5" t="s">
        <v>51</v>
      </c>
      <c r="E10" s="12" t="s">
        <v>63</v>
      </c>
      <c r="F10" s="5" t="s">
        <v>57</v>
      </c>
      <c r="G10" s="5" t="s">
        <v>58</v>
      </c>
    </row>
    <row r="11" spans="1:7" x14ac:dyDescent="0.25">
      <c r="B11">
        <v>0.4</v>
      </c>
      <c r="C11" s="11">
        <v>0.2</v>
      </c>
      <c r="E11">
        <f>+(B11-C11)*10</f>
        <v>2</v>
      </c>
    </row>
    <row r="12" spans="1:7" x14ac:dyDescent="0.25">
      <c r="B12">
        <v>0.01</v>
      </c>
      <c r="C12" s="11">
        <v>0.01</v>
      </c>
      <c r="E12">
        <f t="shared" ref="E12:E18" si="0">+(B12-C12)*10</f>
        <v>0</v>
      </c>
    </row>
    <row r="13" spans="1:7" x14ac:dyDescent="0.25">
      <c r="B13">
        <v>0.05</v>
      </c>
      <c r="C13" s="11">
        <v>0.09</v>
      </c>
      <c r="E13">
        <f t="shared" si="0"/>
        <v>-0.39999999999999991</v>
      </c>
    </row>
    <row r="14" spans="1:7" x14ac:dyDescent="0.25">
      <c r="B14">
        <v>0.06</v>
      </c>
      <c r="C14" s="11">
        <v>0.8</v>
      </c>
      <c r="E14">
        <f t="shared" si="0"/>
        <v>-7.4</v>
      </c>
    </row>
    <row r="15" spans="1:7" x14ac:dyDescent="0.25">
      <c r="B15">
        <v>1</v>
      </c>
      <c r="C15" s="11">
        <v>0.1</v>
      </c>
      <c r="E15">
        <f t="shared" si="0"/>
        <v>9</v>
      </c>
    </row>
    <row r="16" spans="1:7" x14ac:dyDescent="0.25">
      <c r="B16">
        <v>0.04</v>
      </c>
      <c r="C16" s="11">
        <v>0.2</v>
      </c>
      <c r="E16">
        <f t="shared" si="0"/>
        <v>-1.6</v>
      </c>
    </row>
    <row r="17" spans="2:5" x14ac:dyDescent="0.25">
      <c r="B17">
        <v>0.04</v>
      </c>
      <c r="C17" s="11">
        <v>0.4</v>
      </c>
      <c r="E17">
        <f t="shared" si="0"/>
        <v>-3.6000000000000005</v>
      </c>
    </row>
    <row r="18" spans="2:5" x14ac:dyDescent="0.25">
      <c r="B18">
        <v>0.04</v>
      </c>
      <c r="C18" s="11">
        <v>0.4</v>
      </c>
      <c r="E18">
        <f t="shared" si="0"/>
        <v>-3.6000000000000005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genus</vt:lpstr>
      <vt:lpstr>Tables</vt:lpstr>
      <vt:lpstr>Sprite_image_simulator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 Dalmau</dc:creator>
  <cp:lastModifiedBy>Ricard Dalmau</cp:lastModifiedBy>
  <cp:lastPrinted>2021-05-10T18:45:57Z</cp:lastPrinted>
  <dcterms:created xsi:type="dcterms:W3CDTF">2015-06-05T18:19:34Z</dcterms:created>
  <dcterms:modified xsi:type="dcterms:W3CDTF">2021-06-06T15:43:02Z</dcterms:modified>
</cp:coreProperties>
</file>