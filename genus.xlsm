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47BADD70-D4C1-41CC-BF79-834684AC2CE4}" xr6:coauthVersionLast="47" xr6:coauthVersionMax="47" xr10:uidLastSave="{00000000-0000-0000-0000-000000000000}"/>
  <bookViews>
    <workbookView xWindow="8565" yWindow="165" windowWidth="21615" windowHeight="1917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3" i="4" l="1"/>
  <c r="D52" i="4"/>
  <c r="D51" i="4"/>
  <c r="D50" i="4"/>
  <c r="D49" i="4"/>
  <c r="D48" i="4"/>
  <c r="D47" i="4"/>
  <c r="D46" i="4"/>
  <c r="D45" i="4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V69" i="3"/>
  <c r="V67" i="3"/>
  <c r="V66" i="3"/>
  <c r="V62" i="3"/>
  <c r="V61" i="3"/>
  <c r="V56" i="3"/>
  <c r="V60" i="3" s="1"/>
  <c r="V51" i="3"/>
  <c r="V54" i="3" s="1"/>
  <c r="V55" i="3" s="1"/>
  <c r="V57" i="3" s="1"/>
  <c r="V59" i="3" s="1"/>
  <c r="V50" i="3"/>
  <c r="V9" i="3"/>
  <c r="V8" i="3"/>
  <c r="S67" i="3"/>
  <c r="S66" i="3"/>
  <c r="S61" i="3"/>
  <c r="S62" i="3" s="1"/>
  <c r="S56" i="3"/>
  <c r="S60" i="3" s="1"/>
  <c r="S51" i="3"/>
  <c r="S54" i="3" s="1"/>
  <c r="S55" i="3" s="1"/>
  <c r="S57" i="3" s="1"/>
  <c r="S59" i="3" s="1"/>
  <c r="S50" i="3"/>
  <c r="S9" i="3"/>
  <c r="S8" i="3"/>
  <c r="C67" i="3"/>
  <c r="C66" i="3"/>
  <c r="C61" i="3"/>
  <c r="C62" i="3" s="1"/>
  <c r="C51" i="3"/>
  <c r="C56" i="3" s="1"/>
  <c r="C60" i="3" s="1"/>
  <c r="C50" i="3"/>
  <c r="C9" i="3"/>
  <c r="C8" i="3"/>
  <c r="P9" i="3"/>
  <c r="U61" i="3"/>
  <c r="Q61" i="3"/>
  <c r="Q62" i="3" s="1"/>
  <c r="P61" i="3"/>
  <c r="P62" i="3" s="1"/>
  <c r="O61" i="3"/>
  <c r="R61" i="3"/>
  <c r="R62" i="3" s="1"/>
  <c r="N61" i="3"/>
  <c r="N62" i="3" s="1"/>
  <c r="M61" i="3"/>
  <c r="L61" i="3"/>
  <c r="L62" i="3" s="1"/>
  <c r="K61" i="3"/>
  <c r="K62" i="3" s="1"/>
  <c r="J61" i="3"/>
  <c r="I61" i="3"/>
  <c r="I62" i="3" s="1"/>
  <c r="H61" i="3"/>
  <c r="H62" i="3" s="1"/>
  <c r="G61" i="3"/>
  <c r="F61" i="3"/>
  <c r="F62" i="3" s="1"/>
  <c r="E61" i="3"/>
  <c r="E62" i="3" s="1"/>
  <c r="D61" i="3"/>
  <c r="D62" i="3" s="1"/>
  <c r="B61" i="3"/>
  <c r="B62" i="3" s="1"/>
  <c r="T61" i="3"/>
  <c r="T62" i="3" s="1"/>
  <c r="U56" i="3"/>
  <c r="U60" i="3" s="1"/>
  <c r="T56" i="3"/>
  <c r="T60" i="3" s="1"/>
  <c r="Q56" i="3"/>
  <c r="Q60" i="3" s="1"/>
  <c r="P56" i="3"/>
  <c r="P60" i="3" s="1"/>
  <c r="O56" i="3"/>
  <c r="O60" i="3" s="1"/>
  <c r="R56" i="3"/>
  <c r="R60" i="3" s="1"/>
  <c r="U67" i="3"/>
  <c r="U66" i="3"/>
  <c r="U51" i="3"/>
  <c r="U54" i="3" s="1"/>
  <c r="U55" i="3" s="1"/>
  <c r="U50" i="3"/>
  <c r="U9" i="3"/>
  <c r="U8" i="3"/>
  <c r="T67" i="3"/>
  <c r="Q67" i="3"/>
  <c r="P67" i="3"/>
  <c r="O67" i="3"/>
  <c r="R67" i="3"/>
  <c r="N67" i="3"/>
  <c r="M67" i="3"/>
  <c r="L67" i="3"/>
  <c r="K67" i="3"/>
  <c r="J67" i="3"/>
  <c r="I67" i="3"/>
  <c r="H67" i="3"/>
  <c r="G67" i="3"/>
  <c r="F67" i="3"/>
  <c r="E67" i="3"/>
  <c r="D67" i="3"/>
  <c r="B67" i="3"/>
  <c r="T66" i="3"/>
  <c r="Q66" i="3"/>
  <c r="P66" i="3"/>
  <c r="O66" i="3"/>
  <c r="R66" i="3"/>
  <c r="N66" i="3"/>
  <c r="M66" i="3"/>
  <c r="L66" i="3"/>
  <c r="K66" i="3"/>
  <c r="J66" i="3"/>
  <c r="I66" i="3"/>
  <c r="H66" i="3"/>
  <c r="G66" i="3"/>
  <c r="F66" i="3"/>
  <c r="E66" i="3"/>
  <c r="D66" i="3"/>
  <c r="B66" i="3"/>
  <c r="L51" i="3"/>
  <c r="L56" i="3" s="1"/>
  <c r="L60" i="3" s="1"/>
  <c r="L50" i="3"/>
  <c r="L8" i="3"/>
  <c r="L9" i="3"/>
  <c r="K51" i="3"/>
  <c r="K54" i="3" s="1"/>
  <c r="K55" i="3" s="1"/>
  <c r="K50" i="3"/>
  <c r="K8" i="3"/>
  <c r="K9" i="3"/>
  <c r="J51" i="3"/>
  <c r="J56" i="3" s="1"/>
  <c r="J60" i="3" s="1"/>
  <c r="J50" i="3"/>
  <c r="J8" i="3"/>
  <c r="J9" i="3"/>
  <c r="N51" i="3"/>
  <c r="N56" i="3" s="1"/>
  <c r="M51" i="3"/>
  <c r="M56" i="3" s="1"/>
  <c r="M60" i="3" s="1"/>
  <c r="H51" i="3"/>
  <c r="H54" i="3" s="1"/>
  <c r="H55" i="3" s="1"/>
  <c r="I51" i="3"/>
  <c r="I54" i="3" s="1"/>
  <c r="I55" i="3" s="1"/>
  <c r="G51" i="3"/>
  <c r="G54" i="3" s="1"/>
  <c r="G55" i="3" s="1"/>
  <c r="F51" i="3"/>
  <c r="F56" i="3" s="1"/>
  <c r="F60" i="3" s="1"/>
  <c r="E51" i="3"/>
  <c r="E56" i="3" s="1"/>
  <c r="E60" i="3" s="1"/>
  <c r="B51" i="3"/>
  <c r="B56" i="3" s="1"/>
  <c r="B60" i="3" s="1"/>
  <c r="D51" i="3"/>
  <c r="D54" i="3" s="1"/>
  <c r="D55" i="3" s="1"/>
  <c r="T50" i="3"/>
  <c r="Q50" i="3"/>
  <c r="P50" i="3"/>
  <c r="O50" i="3"/>
  <c r="R50" i="3"/>
  <c r="N50" i="3"/>
  <c r="M50" i="3"/>
  <c r="H50" i="3"/>
  <c r="I50" i="3"/>
  <c r="G50" i="3"/>
  <c r="F50" i="3"/>
  <c r="E50" i="3"/>
  <c r="D50" i="3"/>
  <c r="B50" i="3"/>
  <c r="T51" i="3"/>
  <c r="T54" i="3" s="1"/>
  <c r="T55" i="3" s="1"/>
  <c r="Q51" i="3"/>
  <c r="Q54" i="3" s="1"/>
  <c r="Q55" i="3" s="1"/>
  <c r="P51" i="3"/>
  <c r="P54" i="3" s="1"/>
  <c r="P55" i="3" s="1"/>
  <c r="O51" i="3"/>
  <c r="O54" i="3" s="1"/>
  <c r="O55" i="3" s="1"/>
  <c r="R51" i="3"/>
  <c r="R54" i="3" s="1"/>
  <c r="R55" i="3" s="1"/>
  <c r="Q8" i="3"/>
  <c r="Q9" i="3"/>
  <c r="B1" i="3"/>
  <c r="P8" i="3"/>
  <c r="H8" i="3"/>
  <c r="H9" i="3"/>
  <c r="E18" i="5"/>
  <c r="E17" i="5"/>
  <c r="E16" i="5"/>
  <c r="E15" i="5"/>
  <c r="E14" i="5"/>
  <c r="E13" i="5"/>
  <c r="E12" i="5"/>
  <c r="E11" i="5"/>
  <c r="E8" i="3"/>
  <c r="E9" i="3"/>
  <c r="M8" i="3"/>
  <c r="M9" i="3"/>
  <c r="G8" i="3"/>
  <c r="G9" i="3"/>
  <c r="T8" i="3"/>
  <c r="T9" i="3"/>
  <c r="O8" i="3"/>
  <c r="O9" i="3"/>
  <c r="D8" i="3"/>
  <c r="R8" i="3"/>
  <c r="N8" i="3"/>
  <c r="I8" i="3"/>
  <c r="F8" i="3"/>
  <c r="B8" i="3"/>
  <c r="R9" i="3"/>
  <c r="N9" i="3"/>
  <c r="I9" i="3"/>
  <c r="F9" i="3"/>
  <c r="D9" i="3"/>
  <c r="B9" i="3"/>
  <c r="V63" i="3" l="1"/>
  <c r="S63" i="3"/>
  <c r="C54" i="3"/>
  <c r="C55" i="3" s="1"/>
  <c r="C57" i="3" s="1"/>
  <c r="C59" i="3" s="1"/>
  <c r="H56" i="3"/>
  <c r="H60" i="3" s="1"/>
  <c r="I56" i="3"/>
  <c r="I60" i="3" s="1"/>
  <c r="D56" i="3"/>
  <c r="D60" i="3" s="1"/>
  <c r="K56" i="3"/>
  <c r="K60" i="3" s="1"/>
  <c r="G56" i="3"/>
  <c r="G60" i="3" s="1"/>
  <c r="N60" i="3"/>
  <c r="J62" i="3"/>
  <c r="O62" i="3"/>
  <c r="G62" i="3"/>
  <c r="M62" i="3"/>
  <c r="U62" i="3"/>
  <c r="O57" i="3"/>
  <c r="O59" i="3" s="1"/>
  <c r="Q57" i="3"/>
  <c r="Q59" i="3" s="1"/>
  <c r="P57" i="3"/>
  <c r="P59" i="3" s="1"/>
  <c r="U57" i="3"/>
  <c r="U59" i="3" s="1"/>
  <c r="R57" i="3"/>
  <c r="R59" i="3" s="1"/>
  <c r="T57" i="3"/>
  <c r="T59" i="3" s="1"/>
  <c r="L54" i="3"/>
  <c r="L55" i="3" s="1"/>
  <c r="J54" i="3"/>
  <c r="J55" i="3" s="1"/>
  <c r="F54" i="3"/>
  <c r="F55" i="3" s="1"/>
  <c r="M54" i="3"/>
  <c r="M55" i="3" s="1"/>
  <c r="B54" i="3"/>
  <c r="B55" i="3" s="1"/>
  <c r="B57" i="3" s="1"/>
  <c r="E54" i="3"/>
  <c r="E55" i="3" s="1"/>
  <c r="E57" i="3" s="1"/>
  <c r="E59" i="3" s="1"/>
  <c r="N54" i="3"/>
  <c r="N55" i="3" s="1"/>
  <c r="D57" i="3" l="1"/>
  <c r="D59" i="3" s="1"/>
  <c r="C63" i="3"/>
  <c r="K57" i="3"/>
  <c r="K59" i="3" s="1"/>
  <c r="P63" i="3"/>
  <c r="L57" i="3"/>
  <c r="L63" i="3" s="1"/>
  <c r="M57" i="3"/>
  <c r="M63" i="3" s="1"/>
  <c r="F57" i="3"/>
  <c r="F63" i="3" s="1"/>
  <c r="Q63" i="3"/>
  <c r="G57" i="3"/>
  <c r="G59" i="3" s="1"/>
  <c r="H57" i="3"/>
  <c r="H59" i="3" s="1"/>
  <c r="N57" i="3"/>
  <c r="N63" i="3" s="1"/>
  <c r="J57" i="3"/>
  <c r="J59" i="3" s="1"/>
  <c r="I57" i="3"/>
  <c r="I59" i="3" s="1"/>
  <c r="T63" i="3"/>
  <c r="B59" i="3"/>
  <c r="B63" i="3"/>
  <c r="E63" i="3"/>
  <c r="U63" i="3"/>
  <c r="R63" i="3"/>
  <c r="K63" i="3"/>
  <c r="G63" i="3"/>
  <c r="O63" i="3"/>
  <c r="D63" i="3"/>
  <c r="J63" i="3" l="1"/>
  <c r="H63" i="3"/>
  <c r="F59" i="3"/>
  <c r="M59" i="3"/>
  <c r="N59" i="3"/>
  <c r="I63" i="3"/>
  <c r="L5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2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6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44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<sst xmlns="http://schemas.openxmlformats.org/spreadsheetml/2006/main" count="234" uniqueCount="164">
  <si>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</si>
  <si>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</si>
  <si>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</si>
  <si>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</si>
  <si>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</si>
  <si>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</si>
  <si>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</si>
  <si>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</si>
  <si>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</si>
  <si>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</si>
  <si>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</si>
  <si>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</si>
  <si>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</si>
  <si>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</si>
  <si>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</si>
  <si>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</si>
  <si>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</si>
  <si>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</si>
  <si>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</si>
  <si>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</si>
  <si>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</si>
  <si>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</si>
  <si>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</si>
  <si>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</si>
  <si>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</si>
  <si>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PLANT_HEAD_DENSITY</t>
  </si>
  <si>
    <t>PLANT_HEAD_FORM_FACTOR</t>
  </si>
  <si>
    <t>DEPRECATED_10</t>
  </si>
  <si>
    <t>T.Level</t>
  </si>
  <si>
    <t>PLANT_DESERT</t>
  </si>
  <si>
    <t>LMFa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</si>
  <si>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</si>
  <si>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</si>
  <si>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</si>
  <si>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</si>
  <si>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</si>
  <si>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</si>
  <si>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</si>
  <si>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TREE_CONTINENTAL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</si>
  <si>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</si>
  <si>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</si>
  <si>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</si>
  <si>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</si>
  <si>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</si>
  <si>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</si>
  <si>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</si>
  <si>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</si>
  <si>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</si>
  <si>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</si>
  <si>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</si>
  <si>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</si>
  <si>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</si>
  <si>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</si>
  <si>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</si>
  <si>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</si>
  <si>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</si>
  <si>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</si>
  <si>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</si>
  <si>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GENUS_NAME</t>
  </si>
  <si>
    <t>CROP_BUSH</t>
  </si>
  <si>
    <t>LEAF_M2_PER_KG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</si>
  <si>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</si>
  <si>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</si>
  <si>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</si>
  <si>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</si>
  <si>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</si>
  <si>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</si>
  <si>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KA_ANABOLISM_FACTOR</t>
  </si>
  <si>
    <t>DEPRECATED_BIOMASS_BIRTH</t>
  </si>
  <si>
    <t>PRIMARY_TINY_3</t>
  </si>
  <si>
    <t xml:space="preserve"> </t>
  </si>
  <si>
    <t>T.Level2</t>
  </si>
  <si>
    <t>BIOMASS_LIFE_FACTOR</t>
  </si>
  <si>
    <t>control Q per salvar</t>
  </si>
  <si>
    <t>TREE_MEDITERRANEAN</t>
  </si>
  <si>
    <t>HEIGHT_ADULT</t>
  </si>
  <si>
    <t>CLIMATE_ET0_EVOTRANSPIRATION_AVG</t>
  </si>
  <si>
    <t>PLANT_BUSH_3</t>
  </si>
  <si>
    <t>add_above_this_line</t>
  </si>
  <si>
    <t>TBD</t>
  </si>
  <si>
    <t>PLANT_BUSH_4</t>
  </si>
  <si>
    <t>PLANT_BUSH_5</t>
  </si>
  <si>
    <t>GENUS_ID</t>
  </si>
  <si>
    <t>obj_tree</t>
  </si>
  <si>
    <t>obj_tree_tropical</t>
  </si>
  <si>
    <t>obj_tree_continental</t>
  </si>
  <si>
    <t>obj_tree_mediterranean</t>
  </si>
  <si>
    <t>obj_plant_desert</t>
  </si>
  <si>
    <t>obj_crop_bush</t>
  </si>
  <si>
    <t>obj_plant_bush</t>
  </si>
  <si>
    <t>obj_plant_bush_2</t>
  </si>
  <si>
    <t>obj_plant_bush_3</t>
  </si>
  <si>
    <t>obj_plant_bush_4</t>
  </si>
  <si>
    <t>obj_plant_bush_5</t>
  </si>
  <si>
    <t>obj_plant_artic</t>
  </si>
  <si>
    <t>obj_primary_small</t>
  </si>
  <si>
    <t>obj_primary_tiny</t>
  </si>
  <si>
    <t>obj_primary_tiny_2</t>
  </si>
  <si>
    <t>obj_primary_tiny_3</t>
  </si>
  <si>
    <t>obj_secondary_small</t>
  </si>
  <si>
    <t>GUARDAR COM EXCEL HABILITADO PARA MACROS</t>
  </si>
  <si>
    <t>_biomass_adult_max</t>
  </si>
  <si>
    <t>biomass at birth</t>
  </si>
  <si>
    <t>SECONDARY_MEDIUM</t>
  </si>
  <si>
    <t>obj_secondary_medium</t>
  </si>
  <si>
    <t>VIEW_RANGE</t>
  </si>
  <si>
    <t>metabolism_steps_per_month</t>
  </si>
  <si>
    <t>Catabolism adult (animals per step, plantes month)</t>
  </si>
  <si>
    <t>anabolism_input maximum / plant transpiration?</t>
  </si>
  <si>
    <t>SPEED_SLOW</t>
  </si>
  <si>
    <t>SPEED_FAST</t>
  </si>
  <si>
    <t>metab / biomass adult</t>
  </si>
  <si>
    <t>time to starvation - ESTIMATION</t>
  </si>
  <si>
    <t>biomass adult</t>
  </si>
  <si>
    <t>Metabolism variation per step</t>
  </si>
  <si>
    <t>steps to adult</t>
  </si>
  <si>
    <t>SPRITE_HEAD</t>
  </si>
  <si>
    <t>TREE_APPLE</t>
  </si>
  <si>
    <t>obj_tree_apple</t>
  </si>
  <si>
    <t>spr_crop_bush.png</t>
  </si>
  <si>
    <t>12.png</t>
  </si>
  <si>
    <t>63.png</t>
  </si>
  <si>
    <t>79.png</t>
  </si>
  <si>
    <t>66.png</t>
  </si>
  <si>
    <t>24.png</t>
  </si>
  <si>
    <t>1.png</t>
  </si>
  <si>
    <t>68.png</t>
  </si>
  <si>
    <t>102.png</t>
  </si>
  <si>
    <t>2.png</t>
  </si>
  <si>
    <t>92.png</t>
  </si>
  <si>
    <t>94.png</t>
  </si>
  <si>
    <t>96.png</t>
  </si>
  <si>
    <t>77.png</t>
  </si>
  <si>
    <t>PRIMARY_BIG</t>
  </si>
  <si>
    <t>SECONDARY_BIG</t>
  </si>
  <si>
    <t>x</t>
  </si>
  <si>
    <t>10.png</t>
  </si>
  <si>
    <t>tamany relatiu adult</t>
  </si>
  <si>
    <t>4.png</t>
  </si>
  <si>
    <t>138_rd.png</t>
  </si>
  <si>
    <t>DEPRECATED_GENUS_OBJECT</t>
  </si>
  <si>
    <t>91_rd.png</t>
  </si>
  <si>
    <t>130_rd3.png</t>
  </si>
  <si>
    <t>103_rd4.png</t>
  </si>
  <si>
    <t>101_rd.png</t>
  </si>
  <si>
    <t>FAMILY</t>
  </si>
  <si>
    <t>fam_animal_tiny</t>
  </si>
  <si>
    <t>fam_animal_small</t>
  </si>
  <si>
    <t>fam_animal_medium</t>
  </si>
  <si>
    <t>fam_animal_big</t>
  </si>
  <si>
    <t>fam_plant_grass</t>
  </si>
  <si>
    <t>fam_plant_bush</t>
  </si>
  <si>
    <t>fam_tree_small</t>
  </si>
  <si>
    <t>fam_tree_big</t>
  </si>
  <si>
    <t>fam_crop</t>
  </si>
  <si>
    <t>family_area</t>
  </si>
  <si>
    <t>m costat aprox</t>
  </si>
  <si>
    <t>si tamany cell = 10m2, en caben</t>
  </si>
  <si>
    <t xml:space="preserve">es una excepcio, sempre ocupa tot. </t>
  </si>
  <si>
    <t>Que fer amb massa si cell canvia?</t>
  </si>
  <si>
    <t>DEPRECATED_PLANT_BODY_DENSITY</t>
  </si>
  <si>
    <t>DEPRECATED_PLANT_BODY_FORM_FACTOR</t>
  </si>
  <si>
    <t>Lloc</t>
  </si>
  <si>
    <t>1=casa, 0=no a casa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</si>
</sst>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sz val="8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A3A3A3"/>
      </right>
      <top style="medium">
        <color rgb="FFA3A3A3"/>
      </top>
      <bottom/>
      <diagonal/>
    </border>
    <border>
      <left/>
      <right style="medium">
        <color rgb="FFA3A3A3"/>
      </right>
      <top/>
      <bottom/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/>
      <top style="medium">
        <color rgb="FFA3A3A3"/>
      </top>
      <bottom/>
      <diagonal/>
    </border>
    <border>
      <left style="medium">
        <color rgb="FFA3A3A3"/>
      </left>
      <right/>
      <top/>
      <bottom/>
      <diagonal/>
    </border>
    <border>
      <left style="medium">
        <color rgb="FFA3A3A3"/>
      </left>
      <right/>
      <top style="medium">
        <color rgb="FFA3A3A3"/>
      </top>
      <bottom style="medium">
        <color rgb="FFA3A3A3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69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0" fontId="8" fillId="4" borderId="0" xfId="0" applyFont="1" applyFill="1"/>
    <xf numFmtId="0" fontId="8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3" fillId="0" borderId="1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3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3" fillId="2" borderId="1" xfId="0" applyFont="1" applyFill="1" applyBorder="1"/>
    <xf numFmtId="0" fontId="8" fillId="2" borderId="2" xfId="0" applyFont="1" applyFill="1" applyBorder="1"/>
    <xf numFmtId="0" fontId="3" fillId="2" borderId="3" xfId="0" applyFont="1" applyFill="1" applyBorder="1"/>
    <xf numFmtId="0" fontId="0" fillId="8" borderId="0" xfId="0" applyFill="1"/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  <xf numFmtId="2" fontId="3" fillId="0" borderId="0" xfId="0" applyNumberFormat="1" applyFont="1"/>
    <xf numFmtId="10" fontId="3" fillId="0" borderId="0" xfId="1" applyNumberFormat="1" applyFont="1"/>
    <xf numFmtId="2" fontId="14" fillId="0" borderId="0" xfId="0" applyNumberFormat="1" applyFont="1"/>
    <xf numFmtId="10" fontId="14" fillId="0" borderId="0" xfId="1" applyNumberFormat="1" applyFont="1"/>
    <xf numFmtId="0" fontId="14" fillId="0" borderId="0" xfId="0" applyFont="1"/>
    <xf numFmtId="164" fontId="11" fillId="10" borderId="0" xfId="0" applyNumberFormat="1" applyFont="1" applyFill="1"/>
    <xf numFmtId="2" fontId="0" fillId="0" borderId="0" xfId="0" applyNumberFormat="1"/>
    <xf numFmtId="0" fontId="0" fillId="12" borderId="0" xfId="0" applyFill="1" applyAlignment="1">
      <alignment wrapText="1"/>
    </xf>
    <xf numFmtId="0" fontId="8" fillId="0" borderId="0" xfId="0" applyFont="1" applyAlignment="1">
      <alignment wrapText="1"/>
    </xf>
    <xf numFmtId="165" fontId="0" fillId="0" borderId="0" xfId="0" applyNumberFormat="1"/>
    <xf numFmtId="0" fontId="15" fillId="5" borderId="0" xfId="0" applyFont="1" applyFill="1" applyAlignment="1">
      <alignment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2" borderId="0" xfId="0" applyFill="1" applyAlignment="1">
      <alignment wrapText="1"/>
    </xf>
    <xf numFmtId="0" fontId="8" fillId="2" borderId="0" xfId="0" applyFont="1" applyFill="1" applyAlignment="1">
      <alignment wrapText="1"/>
    </xf>
    <xf numFmtId="0" fontId="3" fillId="12" borderId="2" xfId="0" applyFont="1" applyFill="1" applyBorder="1"/>
    <xf numFmtId="0" fontId="3" fillId="12" borderId="3" xfId="0" applyFont="1" applyFill="1" applyBorder="1"/>
  </cellXfs>
  <cellStyles count="2">
    <cellStyle name="Normal" xfId="0" builtinId="0"/>
    <cellStyle name="Porcentaje" xfId="1" builtinId="5"/>
  </cellStyles>
  <dxfs count="29">
    <dxf>
      <alignment horizontal="general" vertical="center" textRotation="0" wrapText="1" indent="0" justifyLastLine="0" shrinkToFit="0" readingOrder="0"/>
      <border diagonalUp="0" diagonalDown="0">
        <left style="medium">
          <color rgb="FFA3A3A3"/>
        </left>
        <right/>
        <top style="medium">
          <color rgb="FFA3A3A3"/>
        </top>
        <bottom style="medium">
          <color rgb="FFA3A3A3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medium">
          <color rgb="FFA3A3A3"/>
        </right>
        <top style="medium">
          <color rgb="FFA3A3A3"/>
        </top>
        <bottom style="medium">
          <color rgb="FFA3A3A3"/>
        </bottom>
        <vertical/>
        <horizontal/>
      </border>
    </dxf>
    <dxf>
      <border outline="0">
        <left style="medium">
          <color rgb="FFA3A3A3"/>
        </left>
        <right style="medium">
          <color rgb="FFA3A3A3"/>
        </right>
        <top style="medium">
          <color rgb="FFA3A3A3"/>
        </top>
        <bottom style="medium">
          <color rgb="FFA3A3A3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medium">
          <color rgb="FFA3A3A3"/>
        </left>
        <right style="medium">
          <color rgb="FFA3A3A3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31" totalsRowShown="0">
  <autoFilter ref="A4:B3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37:B40" totalsRowShown="0">
  <autoFilter ref="A37:B4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5EBB88-25E3-4E1C-B625-F7DAC246A31A}" name="Tabla2" displayName="Tabla2" ref="A44:B54" totalsRowShown="0" headerRowDxfId="3" tableBorderDxfId="2">
  <autoFilter ref="A44:B54" xr:uid="{FD5EBB88-25E3-4E1C-B625-F7DAC246A31A}"/>
  <tableColumns count="2">
    <tableColumn id="1" xr3:uid="{063D9E6C-CA14-4C53-8AB5-F0249B0C328B}" name="FAMILY" dataDxfId="1"/>
    <tableColumn id="2" xr3:uid="{C175A2D7-28C4-4E8A-BFFE-8DDA19752258}" name="family_are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V69"/>
  <sheetViews>
    <sheetView tabSelected="1"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K9" sqref="K9"/>
    </sheetView>
  </sheetViews>
  <sheetFormatPr baseColWidth="10" defaultRowHeight="15" x14ac:dyDescent="0.25"/>
  <cols>
    <col min="1" max="1" width="40.42578125" customWidth="1"/>
    <col min="2" max="2" width="15.5703125" customWidth="1"/>
    <col min="3" max="3" width="15.140625" customWidth="1"/>
    <col min="16" max="17" width="11.5703125" customWidth="1"/>
  </cols>
  <sheetData>
    <row r="1" spans="1:22" x14ac:dyDescent="0.25">
      <c r="A1" t="s">
        <v>65</v>
      </c>
      <c r="B1" s="17">
        <f ca="1">NOW()</f>
        <v>44374.84632384259</v>
      </c>
      <c r="C1" s="17"/>
      <c r="E1" s="29" t="s">
        <v>73</v>
      </c>
      <c r="H1" s="6" t="s">
        <v>100</v>
      </c>
      <c r="I1" s="6"/>
      <c r="J1" s="6"/>
      <c r="K1" s="6"/>
      <c r="L1" s="16" t="s">
        <v>162</v>
      </c>
      <c r="M1" s="16">
        <v>1</v>
      </c>
      <c r="N1" s="16" t="s">
        <v>163</v>
      </c>
    </row>
    <row r="2" spans="1:22" x14ac:dyDescent="0.25">
      <c r="A2" s="6" t="s">
        <v>76</v>
      </c>
      <c r="B2" s="7">
        <v>180</v>
      </c>
      <c r="C2" s="7"/>
      <c r="E2" t="s">
        <v>56</v>
      </c>
    </row>
    <row r="3" spans="1:22" x14ac:dyDescent="0.25">
      <c r="A3" t="s">
        <v>60</v>
      </c>
      <c r="B3" s="1">
        <v>0.1</v>
      </c>
      <c r="C3" s="1"/>
      <c r="E3" s="16" t="s">
        <v>62</v>
      </c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5" spans="1:22" x14ac:dyDescent="0.25">
      <c r="A5" t="s">
        <v>28</v>
      </c>
      <c r="B5" s="26" t="s">
        <v>8</v>
      </c>
      <c r="C5" s="26" t="s">
        <v>8</v>
      </c>
      <c r="D5" s="26" t="s">
        <v>8</v>
      </c>
      <c r="E5" s="26" t="s">
        <v>8</v>
      </c>
      <c r="F5" s="26" t="s">
        <v>8</v>
      </c>
      <c r="G5" s="26" t="s">
        <v>8</v>
      </c>
      <c r="H5" s="26" t="s">
        <v>8</v>
      </c>
      <c r="I5" s="26" t="s">
        <v>8</v>
      </c>
      <c r="J5" s="26" t="s">
        <v>8</v>
      </c>
      <c r="K5" s="26" t="s">
        <v>8</v>
      </c>
      <c r="L5" s="26" t="s">
        <v>8</v>
      </c>
      <c r="M5" s="26" t="s">
        <v>8</v>
      </c>
      <c r="N5" s="26" t="s">
        <v>8</v>
      </c>
      <c r="O5" s="27" t="s">
        <v>9</v>
      </c>
      <c r="P5" s="27" t="s">
        <v>9</v>
      </c>
      <c r="Q5" s="27" t="s">
        <v>9</v>
      </c>
      <c r="R5" s="27" t="s">
        <v>9</v>
      </c>
      <c r="S5" s="27" t="s">
        <v>9</v>
      </c>
      <c r="T5" s="28" t="s">
        <v>6</v>
      </c>
      <c r="U5" s="28" t="s">
        <v>6</v>
      </c>
      <c r="V5" s="28" t="s">
        <v>6</v>
      </c>
    </row>
    <row r="6" spans="1:22" x14ac:dyDescent="0.25">
      <c r="A6" s="3" t="s">
        <v>0</v>
      </c>
      <c r="B6" s="4"/>
      <c r="C6" s="4"/>
      <c r="D6" s="4"/>
      <c r="E6" s="4"/>
      <c r="F6" s="4"/>
      <c r="G6" s="4"/>
      <c r="H6" s="19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</row>
    <row r="7" spans="1:22" ht="23.25" x14ac:dyDescent="0.25">
      <c r="A7" t="s">
        <v>58</v>
      </c>
      <c r="B7" s="10" t="s">
        <v>11</v>
      </c>
      <c r="C7" s="10" t="s">
        <v>117</v>
      </c>
      <c r="D7" s="10" t="s">
        <v>33</v>
      </c>
      <c r="E7" s="10" t="s">
        <v>38</v>
      </c>
      <c r="F7" s="10" t="s">
        <v>74</v>
      </c>
      <c r="G7" s="10" t="s">
        <v>29</v>
      </c>
      <c r="H7" s="46" t="s">
        <v>59</v>
      </c>
      <c r="I7" s="10" t="s">
        <v>12</v>
      </c>
      <c r="J7" s="10" t="s">
        <v>13</v>
      </c>
      <c r="K7" s="10" t="s">
        <v>77</v>
      </c>
      <c r="L7" s="10" t="s">
        <v>80</v>
      </c>
      <c r="M7" s="10" t="s">
        <v>81</v>
      </c>
      <c r="N7" s="10" t="s">
        <v>37</v>
      </c>
      <c r="O7" s="10" t="s">
        <v>14</v>
      </c>
      <c r="P7" s="10" t="s">
        <v>66</v>
      </c>
      <c r="Q7" s="10" t="s">
        <v>69</v>
      </c>
      <c r="R7" s="10" t="s">
        <v>15</v>
      </c>
      <c r="S7" s="10" t="s">
        <v>133</v>
      </c>
      <c r="T7" s="10" t="s">
        <v>3</v>
      </c>
      <c r="U7" s="10" t="s">
        <v>103</v>
      </c>
      <c r="V7" s="10" t="s">
        <v>134</v>
      </c>
    </row>
    <row r="8" spans="1:22" x14ac:dyDescent="0.25">
      <c r="A8" s="42" t="s">
        <v>82</v>
      </c>
      <c r="B8" s="2">
        <f>VLOOKUP(B7,Tabla1[#All],2,FALSE)</f>
        <v>1</v>
      </c>
      <c r="C8" s="2">
        <f>VLOOKUP(C7,Tabla1[#All],2,FALSE)</f>
        <v>19</v>
      </c>
      <c r="D8" s="2">
        <f>VLOOKUP(D7,Tabla1[#All],2,FALSE)</f>
        <v>2</v>
      </c>
      <c r="E8" s="2">
        <f>VLOOKUP(E7,Tabla1[#All],2,FALSE)</f>
        <v>3</v>
      </c>
      <c r="F8" s="2">
        <f>VLOOKUP(F7,Tabla1[#All],2,FALSE)</f>
        <v>11</v>
      </c>
      <c r="G8" s="2">
        <f>VLOOKUP(G7,Tabla1[#All],2,FALSE)</f>
        <v>9</v>
      </c>
      <c r="H8" s="20">
        <f>VLOOKUP(H7,Tabla1[#All],2,FALSE)</f>
        <v>12</v>
      </c>
      <c r="I8" s="2">
        <f>VLOOKUP(I7,Tabla1[#All],2,FALSE)</f>
        <v>4</v>
      </c>
      <c r="J8" s="2">
        <f>VLOOKUP(J7,Tabla1[#All],2,FALSE)</f>
        <v>5</v>
      </c>
      <c r="K8" s="2">
        <f>VLOOKUP(K7,Tabla1[#All],2,FALSE)</f>
        <v>15</v>
      </c>
      <c r="L8" s="2">
        <f>VLOOKUP(L7,Tabla1[#All],2,FALSE)</f>
        <v>16</v>
      </c>
      <c r="M8" s="2">
        <f>VLOOKUP(M7,Tabla1[#All],2,FALSE)</f>
        <v>17</v>
      </c>
      <c r="N8" s="2">
        <f>VLOOKUP(N7,Tabla1[#All],2,FALSE)</f>
        <v>10</v>
      </c>
      <c r="O8" s="2">
        <f>VLOOKUP(O7,Tabla1[#All],2,FALSE)</f>
        <v>6</v>
      </c>
      <c r="P8" s="2">
        <f>VLOOKUP(P7,Tabla1[#All],2,FALSE)</f>
        <v>13</v>
      </c>
      <c r="Q8" s="2">
        <f>VLOOKUP(Q7,Tabla1[#All],2,FALSE)</f>
        <v>14</v>
      </c>
      <c r="R8" s="2">
        <f>VLOOKUP(R7,Tabla1[#All],2,FALSE)</f>
        <v>7</v>
      </c>
      <c r="S8" s="2">
        <f>VLOOKUP(S7,Tabla1[#All],2,FALSE)</f>
        <v>20</v>
      </c>
      <c r="T8" s="2">
        <f>VLOOKUP(T7,Tabla1[#All],2,FALSE)</f>
        <v>8</v>
      </c>
      <c r="U8" s="2">
        <f>VLOOKUP(U7,Tabla1[#All],2,FALSE)</f>
        <v>18</v>
      </c>
      <c r="V8" s="2">
        <f>VLOOKUP(V7,Tabla1[#All],2,FALSE)</f>
        <v>21</v>
      </c>
    </row>
    <row r="9" spans="1:22" x14ac:dyDescent="0.25">
      <c r="A9" s="42" t="s">
        <v>7</v>
      </c>
      <c r="B9" s="2">
        <f>VLOOKUP(B5,Tabla3[#All],2,FALSE)</f>
        <v>0</v>
      </c>
      <c r="C9" s="2">
        <f>VLOOKUP(C5,Tabla3[#All],2,FALSE)</f>
        <v>0</v>
      </c>
      <c r="D9" s="2">
        <f>VLOOKUP(D5,Tabla3[#All],2,FALSE)</f>
        <v>0</v>
      </c>
      <c r="E9" s="2">
        <f>VLOOKUP(E5,Tabla3[#All],2,FALSE)</f>
        <v>0</v>
      </c>
      <c r="F9" s="2">
        <f>VLOOKUP(F5,Tabla3[#All],2,FALSE)</f>
        <v>0</v>
      </c>
      <c r="G9" s="2">
        <f>VLOOKUP(G5,Tabla3[#All],2,FALSE)</f>
        <v>0</v>
      </c>
      <c r="H9" s="20">
        <f>VLOOKUP(H5,Tabla3[#All],2,FALSE)</f>
        <v>0</v>
      </c>
      <c r="I9" s="2">
        <f>VLOOKUP(I5,Tabla3[#All],2,FALSE)</f>
        <v>0</v>
      </c>
      <c r="J9" s="2">
        <f>VLOOKUP(J5,Tabla3[#All],2,FALSE)</f>
        <v>0</v>
      </c>
      <c r="K9" s="2">
        <f>VLOOKUP(K5,Tabla3[#All],2,FALSE)</f>
        <v>0</v>
      </c>
      <c r="L9" s="2">
        <f>VLOOKUP(L5,Tabla3[#All],2,FALSE)</f>
        <v>0</v>
      </c>
      <c r="M9" s="2">
        <f>VLOOKUP(M5,Tabla3[#All],2,FALSE)</f>
        <v>0</v>
      </c>
      <c r="N9" s="2">
        <f>VLOOKUP(N5,Tabla3[#All],2,FALSE)</f>
        <v>0</v>
      </c>
      <c r="O9" s="2">
        <f>VLOOKUP(O5,Tabla3[#All],2,FALSE)</f>
        <v>1</v>
      </c>
      <c r="P9" s="2">
        <f>VLOOKUP(P5,Tabla3[#All],2,FALSE)</f>
        <v>1</v>
      </c>
      <c r="Q9" s="2">
        <f>VLOOKUP(Q5,Tabla3[#All],2,FALSE)</f>
        <v>1</v>
      </c>
      <c r="R9" s="2">
        <f>VLOOKUP(R5,Tabla3[#All],2,FALSE)</f>
        <v>1</v>
      </c>
      <c r="S9" s="2">
        <f>VLOOKUP(S5,Tabla3[#All],2,FALSE)</f>
        <v>1</v>
      </c>
      <c r="T9" s="2">
        <f>VLOOKUP(T5,Tabla3[#All],2,FALSE)</f>
        <v>2</v>
      </c>
      <c r="U9" s="2">
        <f>VLOOKUP(U5,Tabla3[#All],2,FALSE)</f>
        <v>2</v>
      </c>
      <c r="V9" s="2">
        <f>VLOOKUP(V5,Tabla3[#All],2,FALSE)</f>
        <v>2</v>
      </c>
    </row>
    <row r="10" spans="1:22" ht="30" x14ac:dyDescent="0.25">
      <c r="A10" s="42" t="s">
        <v>145</v>
      </c>
      <c r="B10" s="65" t="s">
        <v>152</v>
      </c>
      <c r="C10" s="65" t="s">
        <v>152</v>
      </c>
      <c r="D10" s="65" t="s">
        <v>153</v>
      </c>
      <c r="E10" s="65" t="s">
        <v>153</v>
      </c>
      <c r="F10" s="65" t="s">
        <v>152</v>
      </c>
      <c r="G10" s="65" t="s">
        <v>151</v>
      </c>
      <c r="H10" s="66" t="s">
        <v>154</v>
      </c>
      <c r="I10" s="65" t="s">
        <v>151</v>
      </c>
      <c r="J10" s="65" t="s">
        <v>151</v>
      </c>
      <c r="K10" s="65" t="s">
        <v>151</v>
      </c>
      <c r="L10" s="65" t="s">
        <v>151</v>
      </c>
      <c r="M10" s="65" t="s">
        <v>151</v>
      </c>
      <c r="N10" s="65" t="s">
        <v>151</v>
      </c>
      <c r="O10" s="65" t="s">
        <v>146</v>
      </c>
      <c r="P10" s="65" t="s">
        <v>146</v>
      </c>
      <c r="Q10" s="65" t="s">
        <v>146</v>
      </c>
      <c r="R10" s="65" t="s">
        <v>147</v>
      </c>
      <c r="S10" s="65" t="s">
        <v>149</v>
      </c>
      <c r="T10" s="65" t="s">
        <v>147</v>
      </c>
      <c r="U10" s="65" t="s">
        <v>148</v>
      </c>
      <c r="V10" s="65" t="s">
        <v>149</v>
      </c>
    </row>
    <row r="11" spans="1:22" x14ac:dyDescent="0.25">
      <c r="A11" s="43" t="s">
        <v>21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8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</row>
    <row r="12" spans="1:22" x14ac:dyDescent="0.25">
      <c r="A12" s="43" t="s">
        <v>16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8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</row>
    <row r="13" spans="1:22" s="5" customFormat="1" ht="30" x14ac:dyDescent="0.25">
      <c r="A13" s="55" t="s">
        <v>116</v>
      </c>
      <c r="B13" s="56" t="s">
        <v>126</v>
      </c>
      <c r="C13" s="56" t="s">
        <v>144</v>
      </c>
      <c r="D13" s="5" t="s">
        <v>139</v>
      </c>
      <c r="E13" s="5" t="s">
        <v>127</v>
      </c>
      <c r="F13" s="5" t="s">
        <v>142</v>
      </c>
      <c r="G13" s="5" t="s">
        <v>128</v>
      </c>
      <c r="H13" s="5" t="s">
        <v>119</v>
      </c>
      <c r="I13" s="5" t="s">
        <v>143</v>
      </c>
      <c r="J13" s="5" t="s">
        <v>141</v>
      </c>
      <c r="K13" s="5" t="s">
        <v>129</v>
      </c>
      <c r="L13" s="5" t="s">
        <v>130</v>
      </c>
      <c r="M13" s="5" t="s">
        <v>131</v>
      </c>
      <c r="N13" s="5" t="s">
        <v>132</v>
      </c>
      <c r="O13" s="5" t="s">
        <v>122</v>
      </c>
      <c r="P13" s="5" t="s">
        <v>123</v>
      </c>
      <c r="Q13" s="5" t="s">
        <v>121</v>
      </c>
      <c r="R13" s="5" t="s">
        <v>120</v>
      </c>
      <c r="S13" s="5" t="s">
        <v>136</v>
      </c>
      <c r="T13" s="5" t="s">
        <v>125</v>
      </c>
      <c r="U13" s="5" t="s">
        <v>124</v>
      </c>
      <c r="V13" s="5" t="s">
        <v>138</v>
      </c>
    </row>
    <row r="14" spans="1:22" x14ac:dyDescent="0.25">
      <c r="A14" s="43" t="s">
        <v>57</v>
      </c>
      <c r="B14">
        <v>-1</v>
      </c>
      <c r="C14">
        <v>-1</v>
      </c>
      <c r="D14">
        <v>-1</v>
      </c>
      <c r="E14">
        <v>-1</v>
      </c>
      <c r="F14">
        <v>-1</v>
      </c>
      <c r="G14">
        <v>-1</v>
      </c>
      <c r="H14" s="8">
        <v>-1</v>
      </c>
      <c r="I14">
        <v>-1</v>
      </c>
      <c r="J14">
        <v>-1</v>
      </c>
      <c r="K14">
        <v>-1</v>
      </c>
      <c r="L14">
        <v>-1</v>
      </c>
      <c r="M14">
        <v>-1</v>
      </c>
      <c r="N14">
        <v>-1</v>
      </c>
      <c r="O14">
        <v>-1</v>
      </c>
      <c r="P14">
        <v>-1</v>
      </c>
      <c r="Q14">
        <v>-1</v>
      </c>
      <c r="R14">
        <v>-1</v>
      </c>
      <c r="S14">
        <v>-1</v>
      </c>
      <c r="T14">
        <v>-1</v>
      </c>
      <c r="U14">
        <v>-1</v>
      </c>
      <c r="V14">
        <v>-1</v>
      </c>
    </row>
    <row r="15" spans="1:22" x14ac:dyDescent="0.25">
      <c r="A15" s="44" t="s">
        <v>25</v>
      </c>
      <c r="B15" s="1">
        <v>220</v>
      </c>
      <c r="C15" s="1">
        <v>220</v>
      </c>
      <c r="D15" s="1">
        <v>220</v>
      </c>
      <c r="E15" s="1">
        <v>220</v>
      </c>
      <c r="F15" s="1">
        <v>220</v>
      </c>
      <c r="G15" s="1">
        <v>40</v>
      </c>
      <c r="H15" s="9">
        <v>350</v>
      </c>
      <c r="I15" s="1">
        <v>15</v>
      </c>
      <c r="J15" s="1">
        <v>25</v>
      </c>
      <c r="K15" s="1">
        <v>40</v>
      </c>
      <c r="L15" s="1">
        <v>20</v>
      </c>
      <c r="M15" s="1">
        <v>100</v>
      </c>
      <c r="N15" s="1">
        <v>5</v>
      </c>
      <c r="O15">
        <v>5</v>
      </c>
      <c r="P15">
        <v>5</v>
      </c>
      <c r="Q15">
        <v>10</v>
      </c>
      <c r="R15">
        <v>30</v>
      </c>
      <c r="S15">
        <v>24</v>
      </c>
      <c r="T15">
        <v>60</v>
      </c>
      <c r="U15">
        <v>480</v>
      </c>
      <c r="V15">
        <v>480</v>
      </c>
    </row>
    <row r="16" spans="1:22" x14ac:dyDescent="0.25">
      <c r="A16" s="45" t="s">
        <v>26</v>
      </c>
      <c r="B16" s="1">
        <v>1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9">
        <v>1</v>
      </c>
      <c r="I16" s="1">
        <v>1</v>
      </c>
      <c r="J16" s="1">
        <v>1</v>
      </c>
      <c r="K16" s="1">
        <v>1</v>
      </c>
      <c r="L16" s="1">
        <v>1</v>
      </c>
      <c r="M16" s="1">
        <v>1</v>
      </c>
      <c r="N16" s="1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</row>
    <row r="17" spans="1:22" x14ac:dyDescent="0.25">
      <c r="A17" t="s">
        <v>17</v>
      </c>
      <c r="B17">
        <v>12</v>
      </c>
      <c r="C17">
        <v>12</v>
      </c>
      <c r="D17">
        <v>10</v>
      </c>
      <c r="E17">
        <v>10</v>
      </c>
      <c r="F17">
        <v>10</v>
      </c>
      <c r="G17">
        <v>15</v>
      </c>
      <c r="H17" s="8">
        <v>3</v>
      </c>
      <c r="I17">
        <v>3</v>
      </c>
      <c r="J17">
        <v>3</v>
      </c>
      <c r="K17">
        <v>3</v>
      </c>
      <c r="L17">
        <v>3</v>
      </c>
      <c r="M17">
        <v>3</v>
      </c>
      <c r="N17">
        <v>3</v>
      </c>
      <c r="O17">
        <v>3</v>
      </c>
      <c r="P17">
        <v>3</v>
      </c>
      <c r="Q17">
        <v>7</v>
      </c>
      <c r="R17">
        <v>4</v>
      </c>
      <c r="S17">
        <v>4</v>
      </c>
      <c r="T17">
        <v>5</v>
      </c>
      <c r="U17">
        <v>7</v>
      </c>
      <c r="V17">
        <v>7</v>
      </c>
    </row>
    <row r="18" spans="1:22" x14ac:dyDescent="0.25">
      <c r="A18" s="21" t="s">
        <v>18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 s="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0.5</v>
      </c>
      <c r="P18">
        <v>0.5</v>
      </c>
      <c r="Q18">
        <v>0.3</v>
      </c>
      <c r="R18">
        <v>0.5</v>
      </c>
      <c r="S18">
        <v>0.5</v>
      </c>
      <c r="T18">
        <v>0.3</v>
      </c>
      <c r="U18">
        <v>1</v>
      </c>
      <c r="V18">
        <v>1</v>
      </c>
    </row>
    <row r="19" spans="1:22" x14ac:dyDescent="0.25">
      <c r="A19" s="22" t="s">
        <v>19</v>
      </c>
      <c r="B19">
        <v>64</v>
      </c>
      <c r="C19">
        <v>64</v>
      </c>
      <c r="D19">
        <v>100</v>
      </c>
      <c r="E19">
        <v>128</v>
      </c>
      <c r="F19">
        <v>180</v>
      </c>
      <c r="G19">
        <v>64</v>
      </c>
      <c r="H19" s="8">
        <v>110</v>
      </c>
      <c r="I19">
        <v>30</v>
      </c>
      <c r="J19">
        <v>40</v>
      </c>
      <c r="K19">
        <v>100</v>
      </c>
      <c r="L19">
        <v>60</v>
      </c>
      <c r="M19">
        <v>128</v>
      </c>
      <c r="N19">
        <v>64</v>
      </c>
      <c r="O19">
        <v>32</v>
      </c>
      <c r="P19">
        <v>32</v>
      </c>
      <c r="Q19">
        <v>48</v>
      </c>
      <c r="R19">
        <v>32</v>
      </c>
      <c r="S19">
        <v>32</v>
      </c>
      <c r="T19">
        <v>16</v>
      </c>
      <c r="U19">
        <v>1</v>
      </c>
      <c r="V19">
        <v>1</v>
      </c>
    </row>
    <row r="20" spans="1:22" x14ac:dyDescent="0.25">
      <c r="A20" s="23" t="s">
        <v>32</v>
      </c>
      <c r="B20">
        <v>1</v>
      </c>
      <c r="C20">
        <v>1</v>
      </c>
      <c r="D20">
        <v>1</v>
      </c>
      <c r="E20">
        <v>1</v>
      </c>
      <c r="F20">
        <v>2</v>
      </c>
      <c r="G20">
        <v>1</v>
      </c>
      <c r="H20" s="8">
        <v>4</v>
      </c>
      <c r="I20">
        <v>2</v>
      </c>
      <c r="J20">
        <v>1</v>
      </c>
      <c r="K20">
        <v>5</v>
      </c>
      <c r="L20">
        <v>1</v>
      </c>
      <c r="M20">
        <v>1</v>
      </c>
      <c r="N20">
        <v>4</v>
      </c>
      <c r="O20">
        <v>3</v>
      </c>
      <c r="P20">
        <v>3</v>
      </c>
      <c r="Q20">
        <v>2</v>
      </c>
      <c r="R20">
        <v>2</v>
      </c>
      <c r="S20">
        <v>2</v>
      </c>
      <c r="T20">
        <v>2</v>
      </c>
      <c r="U20">
        <v>1</v>
      </c>
      <c r="V20">
        <v>1</v>
      </c>
    </row>
    <row r="21" spans="1:22" x14ac:dyDescent="0.25">
      <c r="A21" s="21" t="s">
        <v>63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 s="8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2</v>
      </c>
      <c r="P21">
        <v>2</v>
      </c>
      <c r="Q21">
        <v>2</v>
      </c>
      <c r="R21">
        <v>2</v>
      </c>
      <c r="S21">
        <v>4</v>
      </c>
      <c r="T21">
        <v>3</v>
      </c>
      <c r="U21">
        <v>3</v>
      </c>
      <c r="V21">
        <v>6</v>
      </c>
    </row>
    <row r="22" spans="1:22" x14ac:dyDescent="0.25">
      <c r="A22" s="23" t="s">
        <v>64</v>
      </c>
      <c r="B22">
        <v>3</v>
      </c>
      <c r="C22">
        <v>3</v>
      </c>
      <c r="D22">
        <v>3</v>
      </c>
      <c r="E22">
        <v>3</v>
      </c>
      <c r="F22">
        <v>3</v>
      </c>
      <c r="G22">
        <v>1</v>
      </c>
      <c r="H22" s="8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2</v>
      </c>
      <c r="P22">
        <v>2</v>
      </c>
      <c r="Q22">
        <v>2</v>
      </c>
      <c r="R22">
        <v>2</v>
      </c>
      <c r="S22">
        <v>2</v>
      </c>
      <c r="T22">
        <v>3</v>
      </c>
      <c r="U22">
        <v>3</v>
      </c>
      <c r="V22">
        <v>3</v>
      </c>
    </row>
    <row r="23" spans="1:22" x14ac:dyDescent="0.25">
      <c r="A23" s="22" t="s">
        <v>105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s="6">
        <v>32</v>
      </c>
      <c r="P23" s="6">
        <v>32</v>
      </c>
      <c r="Q23" s="6">
        <v>32</v>
      </c>
      <c r="R23" s="6">
        <v>32</v>
      </c>
      <c r="S23" s="6">
        <v>32</v>
      </c>
      <c r="T23">
        <v>64</v>
      </c>
      <c r="U23">
        <v>128</v>
      </c>
      <c r="V23">
        <v>128</v>
      </c>
    </row>
    <row r="24" spans="1:22" x14ac:dyDescent="0.25">
      <c r="A24" s="22" t="s">
        <v>109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5</v>
      </c>
      <c r="P24">
        <v>5</v>
      </c>
      <c r="Q24">
        <v>5</v>
      </c>
      <c r="R24">
        <v>5</v>
      </c>
      <c r="S24">
        <v>5</v>
      </c>
      <c r="T24">
        <v>5</v>
      </c>
      <c r="U24">
        <v>10</v>
      </c>
      <c r="V24">
        <v>10</v>
      </c>
    </row>
    <row r="25" spans="1:22" x14ac:dyDescent="0.25">
      <c r="A25" s="22" t="s">
        <v>110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10</v>
      </c>
      <c r="P25">
        <v>10</v>
      </c>
      <c r="Q25">
        <v>10</v>
      </c>
      <c r="R25">
        <v>10</v>
      </c>
      <c r="S25">
        <v>10</v>
      </c>
      <c r="T25">
        <v>20</v>
      </c>
      <c r="U25">
        <v>20</v>
      </c>
      <c r="V25">
        <v>20</v>
      </c>
    </row>
    <row r="26" spans="1:22" x14ac:dyDescent="0.25">
      <c r="A26" s="23" t="s">
        <v>22</v>
      </c>
      <c r="B26">
        <v>400</v>
      </c>
      <c r="C26">
        <v>400</v>
      </c>
      <c r="D26">
        <v>400</v>
      </c>
      <c r="E26">
        <v>400</v>
      </c>
      <c r="F26">
        <v>400</v>
      </c>
      <c r="G26">
        <v>8</v>
      </c>
      <c r="H26" s="8">
        <v>500</v>
      </c>
      <c r="I26">
        <v>6</v>
      </c>
      <c r="J26">
        <v>10</v>
      </c>
      <c r="K26">
        <v>20</v>
      </c>
      <c r="L26">
        <v>10</v>
      </c>
      <c r="M26">
        <v>50</v>
      </c>
      <c r="N26">
        <v>10</v>
      </c>
      <c r="O26">
        <v>1</v>
      </c>
      <c r="P26">
        <v>3</v>
      </c>
      <c r="Q26">
        <v>6</v>
      </c>
      <c r="R26">
        <v>12</v>
      </c>
      <c r="S26">
        <v>12</v>
      </c>
      <c r="T26">
        <v>30</v>
      </c>
      <c r="U26">
        <v>250</v>
      </c>
      <c r="V26">
        <v>250</v>
      </c>
    </row>
    <row r="27" spans="1:22" x14ac:dyDescent="0.25">
      <c r="A27" s="8" t="s">
        <v>75</v>
      </c>
      <c r="B27" s="8">
        <v>8</v>
      </c>
      <c r="C27" s="8">
        <v>8</v>
      </c>
      <c r="D27" s="8">
        <v>20</v>
      </c>
      <c r="E27" s="8">
        <v>15</v>
      </c>
      <c r="F27" s="8">
        <v>10</v>
      </c>
      <c r="G27" s="8">
        <v>2</v>
      </c>
      <c r="H27" s="8">
        <v>2</v>
      </c>
      <c r="I27" s="8">
        <v>2</v>
      </c>
      <c r="J27" s="8">
        <v>2</v>
      </c>
      <c r="K27" s="8">
        <v>2</v>
      </c>
      <c r="L27" s="8">
        <v>2</v>
      </c>
      <c r="M27" s="8">
        <v>2</v>
      </c>
      <c r="N27" s="8">
        <v>2</v>
      </c>
      <c r="O27" s="8">
        <v>2</v>
      </c>
      <c r="P27" s="8">
        <v>2</v>
      </c>
      <c r="Q27" s="8">
        <v>2</v>
      </c>
      <c r="R27" s="8">
        <v>2</v>
      </c>
      <c r="S27" s="8">
        <v>2</v>
      </c>
      <c r="T27" s="8">
        <v>2</v>
      </c>
      <c r="U27" s="8">
        <v>2</v>
      </c>
      <c r="V27" s="8">
        <v>2</v>
      </c>
    </row>
    <row r="28" spans="1:22" x14ac:dyDescent="0.25">
      <c r="A28" s="21" t="s">
        <v>44</v>
      </c>
      <c r="B28" s="29">
        <v>0</v>
      </c>
      <c r="C28" s="29">
        <v>0</v>
      </c>
      <c r="D28" s="29">
        <v>0</v>
      </c>
      <c r="E28" s="29">
        <v>0</v>
      </c>
      <c r="F28" s="29">
        <v>0</v>
      </c>
      <c r="G28" s="29">
        <v>0</v>
      </c>
      <c r="H28" s="29">
        <v>0</v>
      </c>
      <c r="I28" s="29">
        <v>0</v>
      </c>
      <c r="J28" s="29">
        <v>0</v>
      </c>
      <c r="K28" s="29">
        <v>0</v>
      </c>
      <c r="L28" s="29">
        <v>0</v>
      </c>
      <c r="M28" s="29">
        <v>0</v>
      </c>
      <c r="N28" s="29">
        <v>0</v>
      </c>
      <c r="O28">
        <v>0.4</v>
      </c>
      <c r="P28">
        <v>0.4</v>
      </c>
      <c r="Q28">
        <v>0.3</v>
      </c>
      <c r="R28">
        <v>0.3</v>
      </c>
      <c r="S28">
        <v>0.3</v>
      </c>
      <c r="T28">
        <v>0.4</v>
      </c>
      <c r="U28">
        <v>0.15</v>
      </c>
      <c r="V28">
        <v>0.15</v>
      </c>
    </row>
    <row r="29" spans="1:22" x14ac:dyDescent="0.25">
      <c r="A29" s="24" t="s">
        <v>20</v>
      </c>
      <c r="B29">
        <v>0.1</v>
      </c>
      <c r="C29">
        <v>0.1</v>
      </c>
      <c r="D29">
        <v>0.1</v>
      </c>
      <c r="E29">
        <v>7.0000000000000007E-2</v>
      </c>
      <c r="F29">
        <v>0.03</v>
      </c>
      <c r="G29">
        <v>0.2</v>
      </c>
      <c r="H29" s="8">
        <v>0.1</v>
      </c>
      <c r="I29">
        <v>0.1</v>
      </c>
      <c r="J29">
        <v>0.1</v>
      </c>
      <c r="K29">
        <v>0.1</v>
      </c>
      <c r="L29">
        <v>0.1</v>
      </c>
      <c r="M29">
        <v>0.1</v>
      </c>
      <c r="N29">
        <v>0.1</v>
      </c>
      <c r="O29">
        <v>0.2</v>
      </c>
      <c r="P29">
        <v>0.2</v>
      </c>
      <c r="Q29">
        <v>0.3</v>
      </c>
      <c r="R29">
        <v>0.3</v>
      </c>
      <c r="S29">
        <v>0.3</v>
      </c>
      <c r="T29">
        <v>0.3</v>
      </c>
      <c r="U29">
        <v>0.3</v>
      </c>
      <c r="V29">
        <v>0.3</v>
      </c>
    </row>
    <row r="30" spans="1:22" x14ac:dyDescent="0.25">
      <c r="A30" s="22" t="s">
        <v>72</v>
      </c>
      <c r="B30">
        <v>0.6</v>
      </c>
      <c r="C30">
        <v>0.6</v>
      </c>
      <c r="D30">
        <v>0.5</v>
      </c>
      <c r="E30">
        <v>0.5</v>
      </c>
      <c r="F30">
        <v>0.5</v>
      </c>
      <c r="G30">
        <v>0.6</v>
      </c>
      <c r="H30">
        <v>0.6</v>
      </c>
      <c r="I30">
        <v>0.7</v>
      </c>
      <c r="J30">
        <v>0.7</v>
      </c>
      <c r="K30">
        <v>0.7</v>
      </c>
      <c r="L30">
        <v>0.7</v>
      </c>
      <c r="M30">
        <v>0.7</v>
      </c>
      <c r="N30">
        <v>0.6</v>
      </c>
      <c r="O30">
        <v>0.9</v>
      </c>
      <c r="P30">
        <v>0.9</v>
      </c>
      <c r="Q30">
        <v>0.5</v>
      </c>
      <c r="R30">
        <v>0.8</v>
      </c>
      <c r="S30">
        <v>0.8</v>
      </c>
      <c r="T30">
        <v>0.6</v>
      </c>
      <c r="U30">
        <v>0.8</v>
      </c>
      <c r="V30">
        <v>0.8</v>
      </c>
    </row>
    <row r="31" spans="1:22" x14ac:dyDescent="0.25">
      <c r="A31" s="34" t="s">
        <v>45</v>
      </c>
      <c r="B31" s="30">
        <v>0.5</v>
      </c>
      <c r="C31" s="30">
        <v>0.5</v>
      </c>
      <c r="D31" s="30">
        <v>1</v>
      </c>
      <c r="E31" s="30">
        <v>1</v>
      </c>
      <c r="F31" s="30">
        <v>1</v>
      </c>
      <c r="G31" s="30">
        <v>0.5</v>
      </c>
      <c r="H31" s="30">
        <v>1</v>
      </c>
      <c r="I31" s="30">
        <v>1.2</v>
      </c>
      <c r="J31" s="30">
        <v>1.5</v>
      </c>
      <c r="K31" s="30">
        <v>1.3</v>
      </c>
      <c r="L31" s="30">
        <v>1.3</v>
      </c>
      <c r="M31" s="30">
        <v>1.2</v>
      </c>
      <c r="N31" s="30">
        <v>1.5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</row>
    <row r="32" spans="1:22" x14ac:dyDescent="0.25">
      <c r="A32" s="35" t="s">
        <v>67</v>
      </c>
      <c r="B32" s="30">
        <v>0.8</v>
      </c>
      <c r="C32" s="30">
        <v>0.8</v>
      </c>
      <c r="D32" s="30">
        <v>0.9</v>
      </c>
      <c r="E32" s="30">
        <v>0.7</v>
      </c>
      <c r="F32" s="30">
        <v>0.4</v>
      </c>
      <c r="G32" s="31">
        <v>0.5</v>
      </c>
      <c r="H32" s="32">
        <v>0.15</v>
      </c>
      <c r="I32" s="30">
        <v>0.4</v>
      </c>
      <c r="J32" s="30">
        <v>0.04</v>
      </c>
      <c r="K32" s="30">
        <v>0.04</v>
      </c>
      <c r="L32" s="30">
        <v>0.04</v>
      </c>
      <c r="M32" s="30">
        <v>0.4</v>
      </c>
      <c r="N32" s="30">
        <v>0.04</v>
      </c>
      <c r="O32" s="30">
        <v>0.7</v>
      </c>
      <c r="P32" s="30">
        <v>0.7</v>
      </c>
      <c r="Q32" s="30">
        <v>0.3</v>
      </c>
      <c r="R32" s="33">
        <v>0.6</v>
      </c>
      <c r="S32" s="33">
        <v>0.6</v>
      </c>
      <c r="T32" s="30">
        <v>1.3</v>
      </c>
      <c r="U32" s="30">
        <v>0.3</v>
      </c>
      <c r="V32" s="30">
        <v>0.3</v>
      </c>
    </row>
    <row r="33" spans="1:22" x14ac:dyDescent="0.25">
      <c r="A33" s="36" t="s">
        <v>40</v>
      </c>
      <c r="B33" s="30">
        <v>0.4</v>
      </c>
      <c r="C33" s="30">
        <v>0.4</v>
      </c>
      <c r="D33" s="30">
        <v>0.7</v>
      </c>
      <c r="E33" s="30">
        <v>0.5</v>
      </c>
      <c r="F33" s="30">
        <v>0.2</v>
      </c>
      <c r="G33" s="31">
        <v>0.5</v>
      </c>
      <c r="H33" s="32">
        <v>0.1</v>
      </c>
      <c r="I33" s="31">
        <v>0.3</v>
      </c>
      <c r="J33" s="30">
        <v>0.4</v>
      </c>
      <c r="K33" s="30">
        <v>0.5</v>
      </c>
      <c r="L33" s="30">
        <v>0.6</v>
      </c>
      <c r="M33" s="30">
        <v>0.3</v>
      </c>
      <c r="N33" s="30">
        <v>0.4</v>
      </c>
      <c r="O33" s="30">
        <v>7.0000000000000007E-2</v>
      </c>
      <c r="P33" s="30">
        <v>7.0000000000000007E-2</v>
      </c>
      <c r="Q33" s="30">
        <v>0.06</v>
      </c>
      <c r="R33" s="33">
        <v>0.08</v>
      </c>
      <c r="S33" s="33">
        <v>0.08</v>
      </c>
      <c r="T33" s="30">
        <v>0.1</v>
      </c>
      <c r="U33" s="30">
        <v>0.02</v>
      </c>
      <c r="V33" s="30">
        <v>0.02</v>
      </c>
    </row>
    <row r="34" spans="1:22" x14ac:dyDescent="0.25">
      <c r="A34" s="37" t="s">
        <v>23</v>
      </c>
      <c r="B34" s="1">
        <v>20</v>
      </c>
      <c r="C34" s="1">
        <v>20</v>
      </c>
      <c r="D34" s="1">
        <v>24</v>
      </c>
      <c r="E34" s="1">
        <v>20</v>
      </c>
      <c r="F34" s="1">
        <v>27</v>
      </c>
      <c r="G34" s="1">
        <v>20</v>
      </c>
      <c r="H34" s="9">
        <v>20</v>
      </c>
      <c r="I34" s="1">
        <v>25</v>
      </c>
      <c r="J34" s="1">
        <v>20</v>
      </c>
      <c r="K34" s="1">
        <v>20</v>
      </c>
      <c r="L34" s="1">
        <v>20</v>
      </c>
      <c r="M34" s="1">
        <v>20</v>
      </c>
      <c r="N34" s="1">
        <v>-10</v>
      </c>
      <c r="O34" s="7">
        <v>15</v>
      </c>
      <c r="P34" s="7">
        <v>15</v>
      </c>
      <c r="Q34" s="7">
        <v>15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</row>
    <row r="35" spans="1:22" x14ac:dyDescent="0.25">
      <c r="A35" s="38" t="s">
        <v>31</v>
      </c>
      <c r="B35" s="1">
        <v>8</v>
      </c>
      <c r="C35" s="1">
        <v>8</v>
      </c>
      <c r="D35" s="1">
        <v>3</v>
      </c>
      <c r="E35" s="9">
        <v>5</v>
      </c>
      <c r="F35" s="1">
        <v>5</v>
      </c>
      <c r="G35" s="1">
        <v>10</v>
      </c>
      <c r="H35" s="9">
        <v>10</v>
      </c>
      <c r="I35" s="1">
        <v>8</v>
      </c>
      <c r="J35" s="1">
        <v>5</v>
      </c>
      <c r="K35" s="1">
        <v>5</v>
      </c>
      <c r="L35" s="1">
        <v>5</v>
      </c>
      <c r="M35" s="1">
        <v>10</v>
      </c>
      <c r="N35" s="1">
        <v>20</v>
      </c>
      <c r="O35" s="7">
        <v>15</v>
      </c>
      <c r="P35" s="7">
        <v>15</v>
      </c>
      <c r="Q35" s="7">
        <v>14</v>
      </c>
      <c r="R35" s="7">
        <v>50</v>
      </c>
      <c r="S35" s="7">
        <v>50</v>
      </c>
      <c r="T35" s="7">
        <v>50</v>
      </c>
      <c r="U35" s="7">
        <v>50</v>
      </c>
      <c r="V35" s="7">
        <v>50</v>
      </c>
    </row>
    <row r="36" spans="1:22" x14ac:dyDescent="0.25">
      <c r="A36" s="39" t="s">
        <v>41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9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</row>
    <row r="37" spans="1:22" x14ac:dyDescent="0.25">
      <c r="A37" s="40" t="s">
        <v>42</v>
      </c>
      <c r="B37" s="9">
        <v>0.9</v>
      </c>
      <c r="C37" s="9">
        <v>0.9</v>
      </c>
      <c r="D37" s="9">
        <v>0.9</v>
      </c>
      <c r="E37" s="9">
        <v>0.7</v>
      </c>
      <c r="F37" s="9">
        <v>0.7</v>
      </c>
      <c r="G37" s="9">
        <v>0.1</v>
      </c>
      <c r="H37" s="9">
        <v>0.7</v>
      </c>
      <c r="I37" s="9">
        <v>0.7</v>
      </c>
      <c r="J37" s="9">
        <v>0.7</v>
      </c>
      <c r="K37" s="9">
        <v>0.7</v>
      </c>
      <c r="L37" s="9">
        <v>0.7</v>
      </c>
      <c r="M37" s="9">
        <v>0.7</v>
      </c>
      <c r="N37" s="9">
        <v>0.9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</row>
    <row r="38" spans="1:22" x14ac:dyDescent="0.25">
      <c r="A38" s="41" t="s">
        <v>43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9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</row>
    <row r="39" spans="1:22" x14ac:dyDescent="0.25">
      <c r="A39" s="6" t="s">
        <v>27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 s="8">
        <v>1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</row>
    <row r="40" spans="1:22" x14ac:dyDescent="0.25">
      <c r="A40" s="25" t="s">
        <v>68</v>
      </c>
      <c r="B40" s="6">
        <v>3</v>
      </c>
      <c r="C40" s="6">
        <v>3</v>
      </c>
      <c r="D40" s="6">
        <v>5</v>
      </c>
      <c r="E40" s="6">
        <v>5</v>
      </c>
      <c r="F40" s="6">
        <v>5</v>
      </c>
      <c r="G40" s="6">
        <v>4</v>
      </c>
      <c r="H40" s="6">
        <v>200</v>
      </c>
      <c r="I40" s="6">
        <v>4</v>
      </c>
      <c r="J40" s="6">
        <v>4</v>
      </c>
      <c r="K40" s="6">
        <v>4</v>
      </c>
      <c r="L40" s="6">
        <v>4</v>
      </c>
      <c r="M40" s="6">
        <v>4</v>
      </c>
      <c r="N40" s="6">
        <v>0.2</v>
      </c>
      <c r="O40" s="6">
        <v>0.5</v>
      </c>
      <c r="P40" s="6">
        <v>0.5</v>
      </c>
      <c r="Q40" s="6">
        <v>0.2</v>
      </c>
      <c r="R40" s="6">
        <v>2</v>
      </c>
      <c r="S40" s="6">
        <v>2</v>
      </c>
      <c r="T40" s="6">
        <v>5</v>
      </c>
      <c r="U40" s="6">
        <v>5</v>
      </c>
      <c r="V40" s="6">
        <v>5</v>
      </c>
    </row>
    <row r="41" spans="1:22" s="6" customFormat="1" ht="23.25" x14ac:dyDescent="0.25">
      <c r="A41" s="6" t="s">
        <v>140</v>
      </c>
      <c r="B41" s="58" t="s">
        <v>83</v>
      </c>
      <c r="C41" s="58" t="s">
        <v>118</v>
      </c>
      <c r="D41" s="58" t="s">
        <v>84</v>
      </c>
      <c r="E41" s="58" t="s">
        <v>85</v>
      </c>
      <c r="F41" s="58" t="s">
        <v>86</v>
      </c>
      <c r="G41" s="58" t="s">
        <v>87</v>
      </c>
      <c r="H41" s="58" t="s">
        <v>88</v>
      </c>
      <c r="I41" s="58" t="s">
        <v>89</v>
      </c>
      <c r="J41" s="58" t="s">
        <v>90</v>
      </c>
      <c r="K41" s="58" t="s">
        <v>91</v>
      </c>
      <c r="L41" s="58" t="s">
        <v>92</v>
      </c>
      <c r="M41" s="58" t="s">
        <v>93</v>
      </c>
      <c r="N41" s="58" t="s">
        <v>94</v>
      </c>
      <c r="O41" s="58" t="s">
        <v>96</v>
      </c>
      <c r="P41" s="58" t="s">
        <v>97</v>
      </c>
      <c r="Q41" s="58" t="s">
        <v>98</v>
      </c>
      <c r="R41" s="58" t="s">
        <v>95</v>
      </c>
      <c r="S41" s="58" t="s">
        <v>135</v>
      </c>
      <c r="T41" s="58" t="s">
        <v>99</v>
      </c>
      <c r="U41" s="58" t="s">
        <v>104</v>
      </c>
      <c r="V41" s="58" t="s">
        <v>135</v>
      </c>
    </row>
    <row r="42" spans="1:22" s="6" customFormat="1" x14ac:dyDescent="0.25">
      <c r="A42" s="67" t="s">
        <v>160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</row>
    <row r="43" spans="1:22" s="6" customFormat="1" x14ac:dyDescent="0.25">
      <c r="A43" s="68" t="s">
        <v>161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</row>
    <row r="44" spans="1:22" x14ac:dyDescent="0.25">
      <c r="A44" s="6"/>
    </row>
    <row r="45" spans="1:22" x14ac:dyDescent="0.25">
      <c r="A45" s="6"/>
      <c r="H45" s="6"/>
    </row>
    <row r="46" spans="1:22" x14ac:dyDescent="0.25">
      <c r="A46" s="6"/>
      <c r="H46" s="6"/>
    </row>
    <row r="47" spans="1:22" x14ac:dyDescent="0.25">
      <c r="A47" s="3" t="s">
        <v>1</v>
      </c>
      <c r="B47" s="4"/>
      <c r="C47" s="4"/>
      <c r="D47" s="4"/>
      <c r="E47" s="4"/>
      <c r="F47" s="4"/>
      <c r="G47" s="4"/>
      <c r="H47" s="13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spans="1:22" s="5" customFormat="1" ht="45" x14ac:dyDescent="0.25">
      <c r="A48" s="5" t="s">
        <v>34</v>
      </c>
      <c r="F48" s="14" t="s">
        <v>39</v>
      </c>
      <c r="G48" s="14" t="s">
        <v>35</v>
      </c>
      <c r="H48" s="14"/>
      <c r="I48" s="14"/>
      <c r="J48" s="14"/>
      <c r="K48" s="14"/>
      <c r="L48" s="14"/>
      <c r="M48" s="14"/>
      <c r="N48" s="14" t="s">
        <v>36</v>
      </c>
    </row>
    <row r="49" spans="1:22" x14ac:dyDescent="0.25">
      <c r="H49" s="6"/>
    </row>
    <row r="50" spans="1:22" x14ac:dyDescent="0.25">
      <c r="A50" t="s">
        <v>71</v>
      </c>
      <c r="B50" s="26" t="str">
        <f t="shared" ref="B50:V50" si="0">+B5</f>
        <v>PRODUCER</v>
      </c>
      <c r="C50" s="26" t="str">
        <f t="shared" si="0"/>
        <v>PRODUCER</v>
      </c>
      <c r="D50" s="26" t="str">
        <f t="shared" si="0"/>
        <v>PRODUCER</v>
      </c>
      <c r="E50" s="26" t="str">
        <f t="shared" si="0"/>
        <v>PRODUCER</v>
      </c>
      <c r="F50" s="26" t="str">
        <f t="shared" si="0"/>
        <v>PRODUCER</v>
      </c>
      <c r="G50" s="26" t="str">
        <f t="shared" si="0"/>
        <v>PRODUCER</v>
      </c>
      <c r="H50" s="26" t="str">
        <f t="shared" si="0"/>
        <v>PRODUCER</v>
      </c>
      <c r="I50" s="26" t="str">
        <f t="shared" si="0"/>
        <v>PRODUCER</v>
      </c>
      <c r="J50" s="26" t="str">
        <f t="shared" si="0"/>
        <v>PRODUCER</v>
      </c>
      <c r="K50" s="26" t="str">
        <f t="shared" si="0"/>
        <v>PRODUCER</v>
      </c>
      <c r="L50" s="26" t="str">
        <f t="shared" si="0"/>
        <v>PRODUCER</v>
      </c>
      <c r="M50" s="26" t="str">
        <f t="shared" si="0"/>
        <v>PRODUCER</v>
      </c>
      <c r="N50" s="26" t="str">
        <f t="shared" si="0"/>
        <v>PRODUCER</v>
      </c>
      <c r="O50" s="27" t="str">
        <f t="shared" si="0"/>
        <v>PRIMARY</v>
      </c>
      <c r="P50" s="27" t="str">
        <f t="shared" si="0"/>
        <v>PRIMARY</v>
      </c>
      <c r="Q50" s="27" t="str">
        <f t="shared" si="0"/>
        <v>PRIMARY</v>
      </c>
      <c r="R50" s="27" t="str">
        <f t="shared" si="0"/>
        <v>PRIMARY</v>
      </c>
      <c r="S50" s="27" t="str">
        <f t="shared" si="0"/>
        <v>PRIMARY</v>
      </c>
      <c r="T50" s="28" t="str">
        <f t="shared" si="0"/>
        <v>SECONDARY</v>
      </c>
      <c r="U50" s="28" t="str">
        <f t="shared" si="0"/>
        <v>SECONDARY</v>
      </c>
      <c r="V50" s="28" t="str">
        <f t="shared" si="0"/>
        <v>SECONDARY</v>
      </c>
    </row>
    <row r="51" spans="1:22" x14ac:dyDescent="0.25">
      <c r="A51" t="s">
        <v>30</v>
      </c>
      <c r="B51" s="15">
        <f t="shared" ref="B51:C51" si="1">+B33/B32/$B$2/$B$3</f>
        <v>2.7777777777777776E-2</v>
      </c>
      <c r="C51" s="15">
        <f t="shared" si="1"/>
        <v>2.7777777777777776E-2</v>
      </c>
      <c r="D51" s="15">
        <f>+D33/D32/$B$2/$B$3</f>
        <v>4.3209876543209867E-2</v>
      </c>
      <c r="E51" s="15">
        <f t="shared" ref="E51:N51" si="2">+E33/E32/$B$2/$B$3</f>
        <v>3.968253968253968E-2</v>
      </c>
      <c r="F51" s="15">
        <f t="shared" si="2"/>
        <v>2.7777777777777776E-2</v>
      </c>
      <c r="G51" s="15">
        <f t="shared" si="2"/>
        <v>5.5555555555555552E-2</v>
      </c>
      <c r="H51" s="15">
        <f t="shared" si="2"/>
        <v>3.7037037037037042E-2</v>
      </c>
      <c r="I51" s="15">
        <f>+I33/I32/$B$2/$B$3</f>
        <v>4.1666666666666657E-2</v>
      </c>
      <c r="J51" s="15">
        <f t="shared" ref="J51:L51" si="3">+J33/J32/$B$2/$B$3</f>
        <v>0.55555555555555547</v>
      </c>
      <c r="K51" s="15">
        <f t="shared" si="3"/>
        <v>0.69444444444444442</v>
      </c>
      <c r="L51" s="15">
        <f t="shared" si="3"/>
        <v>0.83333333333333326</v>
      </c>
      <c r="M51" s="15">
        <f t="shared" si="2"/>
        <v>4.1666666666666657E-2</v>
      </c>
      <c r="N51" s="15">
        <f t="shared" si="2"/>
        <v>0.55555555555555547</v>
      </c>
      <c r="O51" s="53">
        <f t="shared" ref="O51:U51" si="4">+O28</f>
        <v>0.4</v>
      </c>
      <c r="P51" s="53">
        <f t="shared" si="4"/>
        <v>0.4</v>
      </c>
      <c r="Q51" s="53">
        <f t="shared" si="4"/>
        <v>0.3</v>
      </c>
      <c r="R51" s="53">
        <f>+R28</f>
        <v>0.3</v>
      </c>
      <c r="S51" s="53">
        <f>+S28</f>
        <v>0.3</v>
      </c>
      <c r="T51" s="53">
        <f t="shared" si="4"/>
        <v>0.4</v>
      </c>
      <c r="U51" s="53">
        <f t="shared" si="4"/>
        <v>0.15</v>
      </c>
      <c r="V51" s="53">
        <f t="shared" ref="V51" si="5">+V28</f>
        <v>0.15</v>
      </c>
    </row>
    <row r="52" spans="1:22" x14ac:dyDescent="0.25">
      <c r="H52" s="6"/>
    </row>
    <row r="53" spans="1:22" x14ac:dyDescent="0.25">
      <c r="A53" t="s">
        <v>106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 s="52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10</v>
      </c>
      <c r="P53">
        <v>10</v>
      </c>
      <c r="Q53">
        <v>10</v>
      </c>
      <c r="R53">
        <v>10</v>
      </c>
      <c r="S53">
        <v>10</v>
      </c>
      <c r="T53">
        <v>10</v>
      </c>
      <c r="U53">
        <v>10</v>
      </c>
      <c r="V53">
        <v>10</v>
      </c>
    </row>
    <row r="54" spans="1:22" x14ac:dyDescent="0.25">
      <c r="A54" t="s">
        <v>108</v>
      </c>
      <c r="B54" s="18">
        <f>+B51*B26*$B$3*$B$2*B31</f>
        <v>100</v>
      </c>
      <c r="C54" s="18">
        <f>+C51*C26*$B$3*$B$2*C31</f>
        <v>100</v>
      </c>
      <c r="D54" s="18">
        <f t="shared" ref="D54:N54" si="6">+D51*D26*$B$3*$B$2*D31</f>
        <v>311.11111111111103</v>
      </c>
      <c r="E54" s="18">
        <f t="shared" si="6"/>
        <v>285.71428571428572</v>
      </c>
      <c r="F54" s="18">
        <f t="shared" si="6"/>
        <v>200</v>
      </c>
      <c r="G54" s="18">
        <f t="shared" si="6"/>
        <v>4</v>
      </c>
      <c r="H54" s="18">
        <f t="shared" si="6"/>
        <v>333.33333333333343</v>
      </c>
      <c r="I54" s="18">
        <f>+I51*I26*$B$3*$B$2*I31</f>
        <v>5.3999999999999986</v>
      </c>
      <c r="J54" s="18">
        <f t="shared" ref="J54:L54" si="7">+J51*J26*$B$3*$B$2*J31</f>
        <v>149.99999999999997</v>
      </c>
      <c r="K54" s="18">
        <f t="shared" si="7"/>
        <v>325.00000000000006</v>
      </c>
      <c r="L54" s="18">
        <f t="shared" si="7"/>
        <v>195</v>
      </c>
      <c r="M54" s="18">
        <f t="shared" si="6"/>
        <v>45</v>
      </c>
      <c r="N54" s="18">
        <f t="shared" si="6"/>
        <v>149.99999999999997</v>
      </c>
      <c r="O54" s="47">
        <f t="shared" ref="O54:U54" si="8">+O51*O26</f>
        <v>0.4</v>
      </c>
      <c r="P54" s="47">
        <f t="shared" si="8"/>
        <v>1.2000000000000002</v>
      </c>
      <c r="Q54" s="47">
        <f t="shared" si="8"/>
        <v>1.7999999999999998</v>
      </c>
      <c r="R54" s="47">
        <f>+R51*R26</f>
        <v>3.5999999999999996</v>
      </c>
      <c r="S54" s="47">
        <f>+S51*S26</f>
        <v>3.5999999999999996</v>
      </c>
      <c r="T54" s="47">
        <f t="shared" si="8"/>
        <v>12</v>
      </c>
      <c r="U54" s="47">
        <f t="shared" si="8"/>
        <v>37.5</v>
      </c>
      <c r="V54" s="47">
        <f t="shared" ref="V54" si="9">+V51*V26</f>
        <v>37.5</v>
      </c>
    </row>
    <row r="55" spans="1:22" x14ac:dyDescent="0.25">
      <c r="A55" t="s">
        <v>61</v>
      </c>
      <c r="B55" s="48">
        <f t="shared" ref="B55:Q55" si="10">+B54*B32/B53</f>
        <v>80</v>
      </c>
      <c r="C55" s="48">
        <f t="shared" ref="C55" si="11">+C54*C32/C53</f>
        <v>80</v>
      </c>
      <c r="D55" s="48">
        <f t="shared" si="10"/>
        <v>279.99999999999994</v>
      </c>
      <c r="E55" s="48">
        <f t="shared" si="10"/>
        <v>200</v>
      </c>
      <c r="F55" s="50">
        <f t="shared" si="10"/>
        <v>80</v>
      </c>
      <c r="G55" s="50">
        <f t="shared" si="10"/>
        <v>2</v>
      </c>
      <c r="H55" s="50">
        <f t="shared" si="10"/>
        <v>50.000000000000014</v>
      </c>
      <c r="I55" s="50">
        <f t="shared" si="10"/>
        <v>2.1599999999999997</v>
      </c>
      <c r="J55" s="50">
        <f t="shared" si="10"/>
        <v>5.9999999999999991</v>
      </c>
      <c r="K55" s="50">
        <f t="shared" si="10"/>
        <v>13.000000000000002</v>
      </c>
      <c r="L55" s="50">
        <f t="shared" si="10"/>
        <v>7.8</v>
      </c>
      <c r="M55" s="50">
        <f t="shared" si="10"/>
        <v>18</v>
      </c>
      <c r="N55" s="50">
        <f t="shared" si="10"/>
        <v>5.9999999999999991</v>
      </c>
      <c r="O55" s="50">
        <f t="shared" si="10"/>
        <v>2.7999999999999997E-2</v>
      </c>
      <c r="P55" s="50">
        <f t="shared" si="10"/>
        <v>8.4000000000000005E-2</v>
      </c>
      <c r="Q55" s="50">
        <f t="shared" si="10"/>
        <v>5.3999999999999992E-2</v>
      </c>
      <c r="R55" s="50">
        <f>+R54*R32/R53</f>
        <v>0.21599999999999997</v>
      </c>
      <c r="S55" s="50">
        <f>+S54*S32/S53</f>
        <v>0.21599999999999997</v>
      </c>
      <c r="T55" s="50">
        <f>+T54*T32/T53</f>
        <v>1.56</v>
      </c>
      <c r="U55" s="50">
        <f t="shared" ref="U55:V55" si="12">+U54*U32/U53</f>
        <v>1.125</v>
      </c>
      <c r="V55" s="50">
        <f t="shared" si="12"/>
        <v>1.125</v>
      </c>
    </row>
    <row r="56" spans="1:22" x14ac:dyDescent="0.25">
      <c r="A56" t="s">
        <v>107</v>
      </c>
      <c r="B56" s="50">
        <f t="shared" ref="B56:G56" si="13">+B33*B26*(1-B51)/B53</f>
        <v>155.55555555555554</v>
      </c>
      <c r="C56" s="50">
        <f t="shared" ref="C56" si="14">+C33*C26*(1-C51)/C53</f>
        <v>155.55555555555554</v>
      </c>
      <c r="D56" s="50">
        <f t="shared" si="13"/>
        <v>267.90123456790127</v>
      </c>
      <c r="E56" s="50">
        <f t="shared" si="13"/>
        <v>192.06349206349208</v>
      </c>
      <c r="F56" s="50">
        <f t="shared" si="13"/>
        <v>77.777777777777771</v>
      </c>
      <c r="G56" s="50">
        <f t="shared" si="13"/>
        <v>3.7777777777777777</v>
      </c>
      <c r="H56" s="50">
        <f>+H33*H26*(1-H51)/H53</f>
        <v>48.148148148148145</v>
      </c>
      <c r="I56" s="50">
        <f t="shared" ref="I56:N56" si="15">+I33*I26*(1-I51)/I53</f>
        <v>1.7249999999999999</v>
      </c>
      <c r="J56" s="50">
        <f t="shared" si="15"/>
        <v>1.7777777777777781</v>
      </c>
      <c r="K56" s="50">
        <f t="shared" si="15"/>
        <v>3.0555555555555558</v>
      </c>
      <c r="L56" s="50">
        <f t="shared" si="15"/>
        <v>1.0000000000000004</v>
      </c>
      <c r="M56" s="50">
        <f t="shared" si="15"/>
        <v>14.375</v>
      </c>
      <c r="N56" s="50">
        <f t="shared" si="15"/>
        <v>1.7777777777777781</v>
      </c>
      <c r="O56" s="50">
        <f t="shared" ref="O56:U56" si="16">+O33*O26*(1-O28)/O53</f>
        <v>4.2000000000000006E-3</v>
      </c>
      <c r="P56" s="50">
        <f t="shared" si="16"/>
        <v>1.26E-2</v>
      </c>
      <c r="Q56" s="50">
        <f t="shared" si="16"/>
        <v>2.52E-2</v>
      </c>
      <c r="R56" s="50">
        <f>+R33*R26*(1-R28)/R53</f>
        <v>6.7199999999999996E-2</v>
      </c>
      <c r="S56" s="50">
        <f>+S33*S26*(1-S28)/S53</f>
        <v>6.7199999999999996E-2</v>
      </c>
      <c r="T56" s="50">
        <f t="shared" si="16"/>
        <v>0.18</v>
      </c>
      <c r="U56" s="50">
        <f t="shared" si="16"/>
        <v>0.42499999999999999</v>
      </c>
      <c r="V56" s="50">
        <f t="shared" ref="V56" si="17">+V33*V26*(1-V28)/V53</f>
        <v>0.42499999999999999</v>
      </c>
    </row>
    <row r="57" spans="1:22" x14ac:dyDescent="0.25">
      <c r="A57" t="s">
        <v>114</v>
      </c>
      <c r="B57" s="48">
        <f>+B55-B56</f>
        <v>-75.555555555555543</v>
      </c>
      <c r="C57" s="48">
        <f>+C55-C56</f>
        <v>-75.555555555555543</v>
      </c>
      <c r="D57" s="48">
        <f t="shared" ref="D57:T57" si="18">+D55-D56</f>
        <v>12.098765432098674</v>
      </c>
      <c r="E57" s="48">
        <f t="shared" si="18"/>
        <v>7.9365079365079225</v>
      </c>
      <c r="F57" s="50">
        <f t="shared" si="18"/>
        <v>2.2222222222222285</v>
      </c>
      <c r="G57" s="50">
        <f t="shared" si="18"/>
        <v>-1.7777777777777777</v>
      </c>
      <c r="H57" s="50">
        <f t="shared" si="18"/>
        <v>1.851851851851869</v>
      </c>
      <c r="I57" s="50">
        <f t="shared" si="18"/>
        <v>0.43499999999999983</v>
      </c>
      <c r="J57" s="50">
        <f t="shared" si="18"/>
        <v>4.2222222222222214</v>
      </c>
      <c r="K57" s="50">
        <f t="shared" si="18"/>
        <v>9.9444444444444464</v>
      </c>
      <c r="L57" s="50">
        <f t="shared" si="18"/>
        <v>6.7999999999999989</v>
      </c>
      <c r="M57" s="50">
        <f t="shared" si="18"/>
        <v>3.625</v>
      </c>
      <c r="N57" s="50">
        <f t="shared" si="18"/>
        <v>4.2222222222222214</v>
      </c>
      <c r="O57" s="50">
        <f t="shared" si="18"/>
        <v>2.3799999999999995E-2</v>
      </c>
      <c r="P57" s="50">
        <f t="shared" si="18"/>
        <v>7.1400000000000005E-2</v>
      </c>
      <c r="Q57" s="50">
        <f t="shared" si="18"/>
        <v>2.8799999999999992E-2</v>
      </c>
      <c r="R57" s="50">
        <f>+R55-R56</f>
        <v>0.14879999999999999</v>
      </c>
      <c r="S57" s="50">
        <f>+S55-S56</f>
        <v>0.14879999999999999</v>
      </c>
      <c r="T57" s="50">
        <f t="shared" si="18"/>
        <v>1.3800000000000001</v>
      </c>
      <c r="U57" s="50">
        <f t="shared" ref="U57:V57" si="19">+U55-U56</f>
        <v>0.7</v>
      </c>
      <c r="V57" s="50">
        <f t="shared" si="19"/>
        <v>0.7</v>
      </c>
    </row>
    <row r="58" spans="1:22" x14ac:dyDescent="0.25">
      <c r="B58" s="48"/>
      <c r="C58" s="48"/>
      <c r="D58" s="48"/>
      <c r="E58" s="48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</row>
    <row r="59" spans="1:22" x14ac:dyDescent="0.25">
      <c r="A59" t="s">
        <v>111</v>
      </c>
      <c r="B59" s="49">
        <f t="shared" ref="B59:T59" si="20">+B57/B26</f>
        <v>-0.18888888888888886</v>
      </c>
      <c r="C59" s="49">
        <f t="shared" ref="C59" si="21">+C57/C26</f>
        <v>-0.18888888888888886</v>
      </c>
      <c r="D59" s="49">
        <f t="shared" si="20"/>
        <v>3.0246913580246684E-2</v>
      </c>
      <c r="E59" s="49">
        <f t="shared" si="20"/>
        <v>1.9841269841269805E-2</v>
      </c>
      <c r="F59" s="51">
        <f t="shared" si="20"/>
        <v>5.5555555555555714E-3</v>
      </c>
      <c r="G59" s="51">
        <f t="shared" si="20"/>
        <v>-0.22222222222222221</v>
      </c>
      <c r="H59" s="51">
        <f t="shared" si="20"/>
        <v>3.7037037037037381E-3</v>
      </c>
      <c r="I59" s="51">
        <f t="shared" si="20"/>
        <v>7.2499999999999967E-2</v>
      </c>
      <c r="J59" s="51">
        <f t="shared" si="20"/>
        <v>0.42222222222222217</v>
      </c>
      <c r="K59" s="51">
        <f t="shared" si="20"/>
        <v>0.49722222222222234</v>
      </c>
      <c r="L59" s="51">
        <f t="shared" si="20"/>
        <v>0.67999999999999994</v>
      </c>
      <c r="M59" s="51">
        <f t="shared" si="20"/>
        <v>7.2499999999999995E-2</v>
      </c>
      <c r="N59" s="51">
        <f t="shared" si="20"/>
        <v>0.42222222222222217</v>
      </c>
      <c r="O59" s="51">
        <f t="shared" si="20"/>
        <v>2.3799999999999995E-2</v>
      </c>
      <c r="P59" s="51">
        <f t="shared" si="20"/>
        <v>2.3800000000000002E-2</v>
      </c>
      <c r="Q59" s="51">
        <f t="shared" si="20"/>
        <v>4.7999999999999987E-3</v>
      </c>
      <c r="R59" s="51">
        <f>+R57/R26</f>
        <v>1.24E-2</v>
      </c>
      <c r="S59" s="51">
        <f>+S57/S26</f>
        <v>1.24E-2</v>
      </c>
      <c r="T59" s="51">
        <f t="shared" si="20"/>
        <v>4.6000000000000006E-2</v>
      </c>
      <c r="U59" s="51">
        <f>+U57/U26</f>
        <v>2.8E-3</v>
      </c>
      <c r="V59" s="51">
        <f>+V57/V26</f>
        <v>2.8E-3</v>
      </c>
    </row>
    <row r="60" spans="1:22" x14ac:dyDescent="0.25">
      <c r="A60" t="s">
        <v>112</v>
      </c>
      <c r="B60" s="48">
        <f t="shared" ref="B60:N60" si="22">+B26*B30/B56</f>
        <v>1.5428571428571429</v>
      </c>
      <c r="C60" s="48">
        <f t="shared" ref="C60" si="23">+C26*C30/C56</f>
        <v>1.5428571428571429</v>
      </c>
      <c r="D60" s="48">
        <f t="shared" si="22"/>
        <v>0.74654377880184319</v>
      </c>
      <c r="E60" s="48">
        <f t="shared" si="22"/>
        <v>1.0413223140495866</v>
      </c>
      <c r="F60" s="50">
        <f t="shared" si="22"/>
        <v>2.5714285714285716</v>
      </c>
      <c r="G60" s="50">
        <f t="shared" si="22"/>
        <v>1.2705882352941176</v>
      </c>
      <c r="H60" s="50">
        <f t="shared" si="22"/>
        <v>6.2307692307692308</v>
      </c>
      <c r="I60" s="50">
        <f t="shared" si="22"/>
        <v>2.4347826086956519</v>
      </c>
      <c r="J60" s="50">
        <f t="shared" si="22"/>
        <v>3.9374999999999991</v>
      </c>
      <c r="K60" s="50">
        <f t="shared" si="22"/>
        <v>4.5818181818181811</v>
      </c>
      <c r="L60" s="50">
        <f t="shared" si="22"/>
        <v>6.9999999999999973</v>
      </c>
      <c r="M60" s="50">
        <f t="shared" si="22"/>
        <v>2.4347826086956523</v>
      </c>
      <c r="N60" s="50">
        <f t="shared" si="22"/>
        <v>3.3749999999999996</v>
      </c>
      <c r="O60" s="50">
        <f t="shared" ref="O60:U60" si="24">+O26*O30/O56</f>
        <v>214.28571428571425</v>
      </c>
      <c r="P60" s="50">
        <f t="shared" si="24"/>
        <v>214.28571428571431</v>
      </c>
      <c r="Q60" s="50">
        <f t="shared" si="24"/>
        <v>119.04761904761905</v>
      </c>
      <c r="R60" s="50">
        <f>+R26*R30/R56</f>
        <v>142.85714285714289</v>
      </c>
      <c r="S60" s="50">
        <f>+S26*S30/S56</f>
        <v>142.85714285714289</v>
      </c>
      <c r="T60" s="50">
        <f t="shared" si="24"/>
        <v>100</v>
      </c>
      <c r="U60" s="50">
        <f t="shared" si="24"/>
        <v>470.58823529411768</v>
      </c>
      <c r="V60" s="50">
        <f t="shared" ref="V60" si="25">+V26*V30/V56</f>
        <v>470.58823529411768</v>
      </c>
    </row>
    <row r="61" spans="1:22" x14ac:dyDescent="0.25">
      <c r="A61" t="s">
        <v>113</v>
      </c>
      <c r="B61" s="48">
        <f t="shared" ref="B61:Q61" si="26">+B26</f>
        <v>400</v>
      </c>
      <c r="C61" s="48">
        <f t="shared" ref="C61" si="27">+C26</f>
        <v>400</v>
      </c>
      <c r="D61" s="48">
        <f t="shared" si="26"/>
        <v>400</v>
      </c>
      <c r="E61" s="48">
        <f t="shared" si="26"/>
        <v>400</v>
      </c>
      <c r="F61" s="50">
        <f t="shared" si="26"/>
        <v>400</v>
      </c>
      <c r="G61" s="50">
        <f t="shared" si="26"/>
        <v>8</v>
      </c>
      <c r="H61" s="50">
        <f t="shared" si="26"/>
        <v>500</v>
      </c>
      <c r="I61" s="50">
        <f t="shared" si="26"/>
        <v>6</v>
      </c>
      <c r="J61" s="50">
        <f t="shared" si="26"/>
        <v>10</v>
      </c>
      <c r="K61" s="50">
        <f t="shared" si="26"/>
        <v>20</v>
      </c>
      <c r="L61" s="50">
        <f t="shared" si="26"/>
        <v>10</v>
      </c>
      <c r="M61" s="50">
        <f t="shared" si="26"/>
        <v>50</v>
      </c>
      <c r="N61" s="50">
        <f t="shared" si="26"/>
        <v>10</v>
      </c>
      <c r="O61" s="50">
        <f t="shared" si="26"/>
        <v>1</v>
      </c>
      <c r="P61" s="50">
        <f t="shared" si="26"/>
        <v>3</v>
      </c>
      <c r="Q61" s="50">
        <f t="shared" si="26"/>
        <v>6</v>
      </c>
      <c r="R61" s="50">
        <f>+R26</f>
        <v>12</v>
      </c>
      <c r="S61" s="50">
        <f>+S26</f>
        <v>12</v>
      </c>
      <c r="T61" s="50">
        <f>+T26</f>
        <v>30</v>
      </c>
      <c r="U61" s="50">
        <f t="shared" ref="U61:V61" si="28">+U26</f>
        <v>250</v>
      </c>
      <c r="V61" s="50">
        <f t="shared" si="28"/>
        <v>250</v>
      </c>
    </row>
    <row r="62" spans="1:22" x14ac:dyDescent="0.25">
      <c r="A62" t="s">
        <v>102</v>
      </c>
      <c r="B62" s="48">
        <f t="shared" ref="B62:Q62" si="29">B61*B29/B20</f>
        <v>40</v>
      </c>
      <c r="C62" s="48">
        <f t="shared" ref="C62" si="30">C61*C29/C20</f>
        <v>40</v>
      </c>
      <c r="D62" s="48">
        <f t="shared" si="29"/>
        <v>40</v>
      </c>
      <c r="E62" s="48">
        <f t="shared" si="29"/>
        <v>28.000000000000004</v>
      </c>
      <c r="F62" s="50">
        <f t="shared" si="29"/>
        <v>6</v>
      </c>
      <c r="G62" s="50">
        <f t="shared" si="29"/>
        <v>1.6</v>
      </c>
      <c r="H62" s="50">
        <f t="shared" si="29"/>
        <v>12.5</v>
      </c>
      <c r="I62" s="50">
        <f t="shared" si="29"/>
        <v>0.30000000000000004</v>
      </c>
      <c r="J62" s="50">
        <f t="shared" si="29"/>
        <v>1</v>
      </c>
      <c r="K62" s="50">
        <f t="shared" si="29"/>
        <v>0.4</v>
      </c>
      <c r="L62" s="50">
        <f t="shared" si="29"/>
        <v>1</v>
      </c>
      <c r="M62" s="50">
        <f t="shared" si="29"/>
        <v>5</v>
      </c>
      <c r="N62" s="50">
        <f t="shared" si="29"/>
        <v>0.25</v>
      </c>
      <c r="O62" s="50">
        <f t="shared" si="29"/>
        <v>6.6666666666666666E-2</v>
      </c>
      <c r="P62" s="50">
        <f t="shared" si="29"/>
        <v>0.20000000000000004</v>
      </c>
      <c r="Q62" s="50">
        <f t="shared" si="29"/>
        <v>0.89999999999999991</v>
      </c>
      <c r="R62" s="50">
        <f>R61*R29/R20</f>
        <v>1.7999999999999998</v>
      </c>
      <c r="S62" s="50">
        <f>S61*S29/S20</f>
        <v>1.7999999999999998</v>
      </c>
      <c r="T62" s="50">
        <f>T61*T29/T20</f>
        <v>4.5</v>
      </c>
      <c r="U62" s="50">
        <f t="shared" ref="U62:V62" si="31">U61*U29/U20</f>
        <v>75</v>
      </c>
      <c r="V62" s="50">
        <f t="shared" si="31"/>
        <v>75</v>
      </c>
    </row>
    <row r="63" spans="1:22" x14ac:dyDescent="0.25">
      <c r="A63" t="s">
        <v>115</v>
      </c>
      <c r="B63" s="48">
        <f t="shared" ref="B63:Q63" si="32">+(B61-B62)/B57</f>
        <v>-4.764705882352942</v>
      </c>
      <c r="C63" s="48">
        <f t="shared" ref="C63" si="33">+(C61-C62)/C57</f>
        <v>-4.764705882352942</v>
      </c>
      <c r="D63" s="48">
        <f t="shared" si="32"/>
        <v>29.755102040816553</v>
      </c>
      <c r="E63" s="48">
        <f t="shared" si="32"/>
        <v>46.872000000000085</v>
      </c>
      <c r="F63" s="48">
        <f t="shared" si="32"/>
        <v>177.2999999999995</v>
      </c>
      <c r="G63" s="48">
        <f t="shared" si="32"/>
        <v>-3.6000000000000005</v>
      </c>
      <c r="H63" s="48">
        <f t="shared" si="32"/>
        <v>263.24999999999756</v>
      </c>
      <c r="I63" s="48">
        <f t="shared" si="32"/>
        <v>13.103448275862075</v>
      </c>
      <c r="J63" s="48">
        <f t="shared" si="32"/>
        <v>2.1315789473684212</v>
      </c>
      <c r="K63" s="48">
        <f t="shared" si="32"/>
        <v>1.9709497206703908</v>
      </c>
      <c r="L63" s="48">
        <f t="shared" si="32"/>
        <v>1.3235294117647061</v>
      </c>
      <c r="M63" s="48">
        <f t="shared" si="32"/>
        <v>12.413793103448276</v>
      </c>
      <c r="N63" s="48">
        <f t="shared" si="32"/>
        <v>2.3092105263157898</v>
      </c>
      <c r="O63" s="48">
        <f t="shared" si="32"/>
        <v>39.215686274509814</v>
      </c>
      <c r="P63" s="48">
        <f t="shared" si="32"/>
        <v>39.2156862745098</v>
      </c>
      <c r="Q63" s="48">
        <f t="shared" si="32"/>
        <v>177.08333333333337</v>
      </c>
      <c r="R63" s="48">
        <f>+(R61-R62)/R57</f>
        <v>68.548387096774192</v>
      </c>
      <c r="S63" s="48">
        <f>+(S61-S62)/S57</f>
        <v>68.548387096774192</v>
      </c>
      <c r="T63" s="48">
        <f>+(T61-T62)/T57</f>
        <v>18.478260869565215</v>
      </c>
      <c r="U63" s="48">
        <f t="shared" ref="U63:V63" si="34">+(U61-U62)/U57</f>
        <v>250.00000000000003</v>
      </c>
      <c r="V63" s="48">
        <f t="shared" si="34"/>
        <v>250.00000000000003</v>
      </c>
    </row>
    <row r="64" spans="1:22" x14ac:dyDescent="0.25"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</row>
    <row r="65" spans="1:22" x14ac:dyDescent="0.25">
      <c r="F65" s="52"/>
      <c r="G65" s="52"/>
      <c r="H65" s="52"/>
      <c r="I65" s="52" t="s">
        <v>70</v>
      </c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</row>
    <row r="66" spans="1:22" x14ac:dyDescent="0.25">
      <c r="A66" t="s">
        <v>101</v>
      </c>
      <c r="B66">
        <f>+B26*(1+B29)*1.1</f>
        <v>484.00000000000011</v>
      </c>
      <c r="C66">
        <f>+C26*(1+C29)*1.1</f>
        <v>484.00000000000011</v>
      </c>
      <c r="D66">
        <f t="shared" ref="D66:T66" si="35">+D26*(1+D29)*1.1</f>
        <v>484.00000000000011</v>
      </c>
      <c r="E66">
        <f t="shared" si="35"/>
        <v>470.8</v>
      </c>
      <c r="F66">
        <f t="shared" si="35"/>
        <v>453.20000000000005</v>
      </c>
      <c r="G66">
        <f t="shared" si="35"/>
        <v>10.56</v>
      </c>
      <c r="H66">
        <f t="shared" si="35"/>
        <v>605</v>
      </c>
      <c r="I66">
        <f t="shared" si="35"/>
        <v>7.2600000000000016</v>
      </c>
      <c r="J66">
        <f t="shared" si="35"/>
        <v>12.100000000000001</v>
      </c>
      <c r="K66">
        <f t="shared" si="35"/>
        <v>24.200000000000003</v>
      </c>
      <c r="L66">
        <f t="shared" si="35"/>
        <v>12.100000000000001</v>
      </c>
      <c r="M66">
        <f t="shared" si="35"/>
        <v>60.500000000000014</v>
      </c>
      <c r="N66">
        <f t="shared" si="35"/>
        <v>12.100000000000001</v>
      </c>
      <c r="O66">
        <f t="shared" si="35"/>
        <v>1.32</v>
      </c>
      <c r="P66">
        <f t="shared" si="35"/>
        <v>3.96</v>
      </c>
      <c r="Q66">
        <f t="shared" si="35"/>
        <v>8.5800000000000018</v>
      </c>
      <c r="R66">
        <f>+R26*(1+R29)*1.1</f>
        <v>17.160000000000004</v>
      </c>
      <c r="S66">
        <f>+S26*(1+S29)*1.1</f>
        <v>17.160000000000004</v>
      </c>
      <c r="T66">
        <f t="shared" si="35"/>
        <v>42.900000000000006</v>
      </c>
      <c r="U66">
        <f t="shared" ref="U66:V66" si="36">+U26*(1+U29)*1.1</f>
        <v>357.50000000000006</v>
      </c>
      <c r="V66">
        <f t="shared" si="36"/>
        <v>357.50000000000006</v>
      </c>
    </row>
    <row r="67" spans="1:22" x14ac:dyDescent="0.25">
      <c r="A67" t="s">
        <v>102</v>
      </c>
      <c r="B67" s="54">
        <f t="shared" ref="B67:U67" si="37">+B26*B29/B20</f>
        <v>40</v>
      </c>
      <c r="C67" s="54">
        <f t="shared" ref="C67" si="38">+C26*C29/C20</f>
        <v>40</v>
      </c>
      <c r="D67" s="54">
        <f t="shared" si="37"/>
        <v>40</v>
      </c>
      <c r="E67" s="54">
        <f t="shared" si="37"/>
        <v>28.000000000000004</v>
      </c>
      <c r="F67" s="54">
        <f t="shared" si="37"/>
        <v>6</v>
      </c>
      <c r="G67" s="54">
        <f t="shared" si="37"/>
        <v>1.6</v>
      </c>
      <c r="H67" s="54">
        <f t="shared" si="37"/>
        <v>12.5</v>
      </c>
      <c r="I67" s="54">
        <f t="shared" si="37"/>
        <v>0.30000000000000004</v>
      </c>
      <c r="J67" s="54">
        <f t="shared" si="37"/>
        <v>1</v>
      </c>
      <c r="K67" s="54">
        <f t="shared" si="37"/>
        <v>0.4</v>
      </c>
      <c r="L67" s="54">
        <f t="shared" si="37"/>
        <v>1</v>
      </c>
      <c r="M67" s="54">
        <f t="shared" si="37"/>
        <v>5</v>
      </c>
      <c r="N67" s="54">
        <f t="shared" si="37"/>
        <v>0.25</v>
      </c>
      <c r="O67" s="54">
        <f t="shared" si="37"/>
        <v>6.6666666666666666E-2</v>
      </c>
      <c r="P67" s="54">
        <f t="shared" si="37"/>
        <v>0.20000000000000004</v>
      </c>
      <c r="Q67" s="54">
        <f t="shared" si="37"/>
        <v>0.89999999999999991</v>
      </c>
      <c r="R67" s="54">
        <f>+R26*R29/R20</f>
        <v>1.7999999999999998</v>
      </c>
      <c r="S67" s="54">
        <f>+S26*S29/S20</f>
        <v>1.7999999999999998</v>
      </c>
      <c r="T67" s="54">
        <f t="shared" si="37"/>
        <v>4.5</v>
      </c>
      <c r="U67" s="54">
        <f t="shared" si="37"/>
        <v>75</v>
      </c>
      <c r="V67" s="54">
        <f t="shared" ref="V67" si="39">+V26*V29/V20</f>
        <v>75</v>
      </c>
    </row>
    <row r="69" spans="1:22" x14ac:dyDescent="0.25">
      <c r="A69" t="s">
        <v>137</v>
      </c>
      <c r="B69" s="57">
        <f t="shared" ref="B69:V69" si="40">+B26/B15</f>
        <v>1.8181818181818181</v>
      </c>
      <c r="C69" s="57">
        <f t="shared" si="40"/>
        <v>1.8181818181818181</v>
      </c>
      <c r="D69" s="57">
        <f t="shared" si="40"/>
        <v>1.8181818181818181</v>
      </c>
      <c r="E69" s="57">
        <f t="shared" si="40"/>
        <v>1.8181818181818181</v>
      </c>
      <c r="F69" s="57">
        <f t="shared" si="40"/>
        <v>1.8181818181818181</v>
      </c>
      <c r="G69" s="57">
        <f t="shared" si="40"/>
        <v>0.2</v>
      </c>
      <c r="H69" s="57">
        <f t="shared" si="40"/>
        <v>1.4285714285714286</v>
      </c>
      <c r="I69" s="57">
        <f t="shared" si="40"/>
        <v>0.4</v>
      </c>
      <c r="J69" s="57">
        <f t="shared" si="40"/>
        <v>0.4</v>
      </c>
      <c r="K69" s="57">
        <f t="shared" si="40"/>
        <v>0.5</v>
      </c>
      <c r="L69" s="57">
        <f t="shared" si="40"/>
        <v>0.5</v>
      </c>
      <c r="M69" s="57">
        <f t="shared" si="40"/>
        <v>0.5</v>
      </c>
      <c r="N69" s="57">
        <f t="shared" si="40"/>
        <v>2</v>
      </c>
      <c r="O69" s="57">
        <f t="shared" si="40"/>
        <v>0.2</v>
      </c>
      <c r="P69" s="57">
        <f t="shared" si="40"/>
        <v>0.6</v>
      </c>
      <c r="Q69" s="57">
        <f t="shared" si="40"/>
        <v>0.6</v>
      </c>
      <c r="R69" s="57">
        <f t="shared" si="40"/>
        <v>0.4</v>
      </c>
      <c r="S69" s="57">
        <f t="shared" si="40"/>
        <v>0.5</v>
      </c>
      <c r="T69" s="57">
        <f t="shared" si="40"/>
        <v>0.5</v>
      </c>
      <c r="U69" s="57">
        <f t="shared" si="40"/>
        <v>0.52083333333333337</v>
      </c>
      <c r="V69" s="57">
        <f t="shared" si="40"/>
        <v>0.52083333333333337</v>
      </c>
    </row>
  </sheetData>
  <conditionalFormatting sqref="O41 O7">
    <cfRule type="duplicateValues" dxfId="28" priority="54"/>
  </conditionalFormatting>
  <conditionalFormatting sqref="T41 T7">
    <cfRule type="duplicateValues" dxfId="27" priority="56"/>
  </conditionalFormatting>
  <conditionalFormatting sqref="G41 G7">
    <cfRule type="duplicateValues" dxfId="26" priority="58"/>
  </conditionalFormatting>
  <conditionalFormatting sqref="M7">
    <cfRule type="duplicateValues" dxfId="25" priority="68"/>
  </conditionalFormatting>
  <conditionalFormatting sqref="E41 E7">
    <cfRule type="duplicateValues" dxfId="24" priority="70"/>
  </conditionalFormatting>
  <conditionalFormatting sqref="D41 D7">
    <cfRule type="duplicateValues" dxfId="23" priority="72"/>
  </conditionalFormatting>
  <conditionalFormatting sqref="H41 H7">
    <cfRule type="duplicateValues" dxfId="22" priority="74"/>
  </conditionalFormatting>
  <conditionalFormatting sqref="P41 P7">
    <cfRule type="duplicateValues" dxfId="21" priority="76"/>
  </conditionalFormatting>
  <conditionalFormatting sqref="Q41 Q7">
    <cfRule type="duplicateValues" dxfId="20" priority="78"/>
  </conditionalFormatting>
  <conditionalFormatting sqref="J41 J7">
    <cfRule type="duplicateValues" dxfId="19" priority="80"/>
  </conditionalFormatting>
  <conditionalFormatting sqref="K7">
    <cfRule type="duplicateValues" dxfId="18" priority="92"/>
  </conditionalFormatting>
  <conditionalFormatting sqref="L7">
    <cfRule type="duplicateValues" dxfId="17" priority="94"/>
  </conditionalFormatting>
  <conditionalFormatting sqref="K41">
    <cfRule type="duplicateValues" dxfId="16" priority="16"/>
  </conditionalFormatting>
  <conditionalFormatting sqref="L41">
    <cfRule type="duplicateValues" dxfId="15" priority="15"/>
  </conditionalFormatting>
  <conditionalFormatting sqref="M41">
    <cfRule type="duplicateValues" dxfId="14" priority="14"/>
  </conditionalFormatting>
  <conditionalFormatting sqref="U41 U7">
    <cfRule type="duplicateValues" dxfId="13" priority="12"/>
  </conditionalFormatting>
  <conditionalFormatting sqref="U41">
    <cfRule type="duplicateValues" dxfId="12" priority="13"/>
  </conditionalFormatting>
  <conditionalFormatting sqref="R41 I41 I7 N41 N7 R7 B41 B7 F41 F7 D7 D41">
    <cfRule type="duplicateValues" dxfId="11" priority="97"/>
  </conditionalFormatting>
  <conditionalFormatting sqref="R41 N41:O41 N7:O7 F41:G41 F7:G7 I41 I7 B41 B7 R7 D7 D41 T7 T41">
    <cfRule type="duplicateValues" dxfId="10" priority="100"/>
  </conditionalFormatting>
  <conditionalFormatting sqref="C41 C7">
    <cfRule type="duplicateValues" dxfId="9" priority="10"/>
  </conditionalFormatting>
  <conditionalFormatting sqref="C41">
    <cfRule type="duplicateValues" dxfId="8" priority="11"/>
  </conditionalFormatting>
  <conditionalFormatting sqref="S41 S7">
    <cfRule type="duplicateValues" dxfId="7" priority="8"/>
  </conditionalFormatting>
  <conditionalFormatting sqref="S41">
    <cfRule type="duplicateValues" dxfId="6" priority="9"/>
  </conditionalFormatting>
  <conditionalFormatting sqref="V41 V7">
    <cfRule type="duplicateValues" dxfId="5" priority="6"/>
  </conditionalFormatting>
  <conditionalFormatting sqref="V41">
    <cfRule type="duplicateValues" dxfId="4" priority="7"/>
  </conditionalFormatting>
  <conditionalFormatting sqref="B21:V2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:V2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:V2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{61C36302-3A6A-4547-8538-F079A8D14F1C}</x14:id>
        </ext>
      </extLst>
    </cfRule>
  </conditionalFormatting>
  <conditionalFormatting sqref="B27:V2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{A7C028B2-B152-4FDB-968B-AB1A3FB3A73B}</x14:id>
        </ext>
      </extLst>
    </cfRule>
  </conditionalFormatting>
  <conditionalFormatting sqref="B20:V20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{FE1C2B79-0604-41C7-9207-14D076B50904}</x14:id>
        </ext>
      </extLs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C36302-3A6A-4547-8538-F079A8D14F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B26:V26</xm:sqref>
        </x14:conditionalFormatting>
        <x14:conditionalFormatting xmlns:xm="http://schemas.microsoft.com/office/excel/2006/main">
          <x14:cfRule type="dataBar" id="{A7C028B2-B152-4FDB-968B-AB1A3FB3A7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B27:V27</xm:sqref>
        </x14:conditionalFormatting>
        <x14:conditionalFormatting xmlns:xm="http://schemas.microsoft.com/office/excel/2006/main">
          <x14:cfRule type="dataBar" id="{FE1C2B79-0604-41C7-9207-14D076B509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B20:V20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2DCFE51-E5A0-46C0-BA78-677466E1BE10}">
          <x14:formula1>
            <xm:f>Tables!$A$37:$A$40</xm:f>
          </x14:formula1>
          <xm:sqref>B5:V5</xm:sqref>
        </x14:dataValidation>
        <x14:dataValidation type="list" allowBlank="1" showInputMessage="1" showErrorMessage="1" xr:uid="{B3D47E63-4CCF-498A-86C2-6290C49D352E}">
          <x14:formula1>
            <xm:f>Tables!$A$4:$A$31</xm:f>
          </x14:formula1>
          <xm:sqref>B7:V7 B9:V9</xm:sqref>
        </x14:dataValidation>
        <x14:dataValidation type="list" allowBlank="1" showInputMessage="1" showErrorMessage="1" xr:uid="{D216311E-5B6A-4C70-909E-8209732DFE29}">
          <x14:formula1>
            <xm:f>Tables!$A$44:$A$54</xm:f>
          </x14:formula1>
          <xm:sqref>B10:V10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E54"/>
  <sheetViews>
    <sheetView topLeftCell="A40" workbookViewId="0">
      <selection activeCell="E54" sqref="E54"/>
    </sheetView>
  </sheetViews>
  <sheetFormatPr baseColWidth="10" defaultRowHeight="15" x14ac:dyDescent="0.25"/>
  <cols>
    <col min="1" max="1" width="23.28515625" customWidth="1"/>
    <col min="2" max="2" width="14.85546875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33</v>
      </c>
      <c r="B7">
        <v>2</v>
      </c>
    </row>
    <row r="8" spans="1:3" x14ac:dyDescent="0.25">
      <c r="A8" t="s">
        <v>38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29</v>
      </c>
      <c r="B14">
        <v>9</v>
      </c>
    </row>
    <row r="15" spans="1:3" x14ac:dyDescent="0.25">
      <c r="A15" t="s">
        <v>37</v>
      </c>
      <c r="B15">
        <v>10</v>
      </c>
    </row>
    <row r="16" spans="1:3" x14ac:dyDescent="0.25">
      <c r="A16" t="s">
        <v>74</v>
      </c>
      <c r="B16">
        <v>11</v>
      </c>
    </row>
    <row r="17" spans="1:2" x14ac:dyDescent="0.25">
      <c r="A17" t="s">
        <v>59</v>
      </c>
      <c r="B17">
        <v>12</v>
      </c>
    </row>
    <row r="18" spans="1:2" x14ac:dyDescent="0.25">
      <c r="A18" t="s">
        <v>66</v>
      </c>
      <c r="B18">
        <v>13</v>
      </c>
    </row>
    <row r="19" spans="1:2" x14ac:dyDescent="0.25">
      <c r="A19" t="s">
        <v>69</v>
      </c>
      <c r="B19">
        <v>14</v>
      </c>
    </row>
    <row r="20" spans="1:2" x14ac:dyDescent="0.25">
      <c r="A20" t="s">
        <v>77</v>
      </c>
      <c r="B20">
        <v>15</v>
      </c>
    </row>
    <row r="21" spans="1:2" x14ac:dyDescent="0.25">
      <c r="A21" t="s">
        <v>80</v>
      </c>
      <c r="B21">
        <v>16</v>
      </c>
    </row>
    <row r="22" spans="1:2" x14ac:dyDescent="0.25">
      <c r="A22" t="s">
        <v>81</v>
      </c>
      <c r="B22">
        <v>17</v>
      </c>
    </row>
    <row r="23" spans="1:2" x14ac:dyDescent="0.25">
      <c r="A23" t="s">
        <v>103</v>
      </c>
      <c r="B23">
        <v>18</v>
      </c>
    </row>
    <row r="24" spans="1:2" x14ac:dyDescent="0.25">
      <c r="A24" t="s">
        <v>117</v>
      </c>
      <c r="B24">
        <v>19</v>
      </c>
    </row>
    <row r="25" spans="1:2" x14ac:dyDescent="0.25">
      <c r="A25" t="s">
        <v>133</v>
      </c>
      <c r="B25">
        <v>20</v>
      </c>
    </row>
    <row r="26" spans="1:2" x14ac:dyDescent="0.25">
      <c r="A26" t="s">
        <v>134</v>
      </c>
      <c r="B26">
        <v>21</v>
      </c>
    </row>
    <row r="30" spans="1:2" x14ac:dyDescent="0.25">
      <c r="A30" t="s">
        <v>79</v>
      </c>
    </row>
    <row r="31" spans="1:2" x14ac:dyDescent="0.25">
      <c r="A31" s="6" t="s">
        <v>78</v>
      </c>
      <c r="B31">
        <v>99</v>
      </c>
    </row>
    <row r="37" spans="1:4" x14ac:dyDescent="0.25">
      <c r="A37" t="s">
        <v>7</v>
      </c>
      <c r="B37" t="s">
        <v>5</v>
      </c>
    </row>
    <row r="38" spans="1:4" x14ac:dyDescent="0.25">
      <c r="A38" t="s">
        <v>8</v>
      </c>
      <c r="B38">
        <v>0</v>
      </c>
    </row>
    <row r="39" spans="1:4" x14ac:dyDescent="0.25">
      <c r="A39" t="s">
        <v>9</v>
      </c>
      <c r="B39">
        <v>1</v>
      </c>
    </row>
    <row r="40" spans="1:4" x14ac:dyDescent="0.25">
      <c r="A40" t="s">
        <v>6</v>
      </c>
      <c r="B40">
        <v>2</v>
      </c>
    </row>
    <row r="43" spans="1:4" x14ac:dyDescent="0.25">
      <c r="D43" t="s">
        <v>157</v>
      </c>
    </row>
    <row r="44" spans="1:4" ht="15.75" thickBot="1" x14ac:dyDescent="0.3">
      <c r="A44" s="60" t="s">
        <v>145</v>
      </c>
      <c r="B44" s="63" t="s">
        <v>155</v>
      </c>
      <c r="C44" t="s">
        <v>156</v>
      </c>
      <c r="D44">
        <v>10</v>
      </c>
    </row>
    <row r="45" spans="1:4" ht="15.75" thickBot="1" x14ac:dyDescent="0.3">
      <c r="A45" s="61" t="s">
        <v>146</v>
      </c>
      <c r="B45" s="64">
        <v>1</v>
      </c>
      <c r="C45">
        <v>0.1</v>
      </c>
      <c r="D45" s="18">
        <f>+$D$44/Tabla2[[#This Row],[family_area]]</f>
        <v>10</v>
      </c>
    </row>
    <row r="46" spans="1:4" ht="15.75" thickBot="1" x14ac:dyDescent="0.3">
      <c r="A46" s="61" t="s">
        <v>147</v>
      </c>
      <c r="B46" s="64">
        <v>2</v>
      </c>
      <c r="C46">
        <v>0.3</v>
      </c>
      <c r="D46" s="18">
        <f>+$D$44/Tabla2[[#This Row],[family_area]]</f>
        <v>5</v>
      </c>
    </row>
    <row r="47" spans="1:4" ht="15.75" thickBot="1" x14ac:dyDescent="0.3">
      <c r="A47" s="61" t="s">
        <v>148</v>
      </c>
      <c r="B47" s="64">
        <v>3</v>
      </c>
      <c r="C47">
        <v>0.5</v>
      </c>
      <c r="D47" s="18">
        <f>+$D$44/Tabla2[[#This Row],[family_area]]</f>
        <v>3.3333333333333335</v>
      </c>
    </row>
    <row r="48" spans="1:4" ht="15.75" thickBot="1" x14ac:dyDescent="0.3">
      <c r="A48" s="61" t="s">
        <v>149</v>
      </c>
      <c r="B48" s="64">
        <v>4</v>
      </c>
      <c r="C48">
        <v>1</v>
      </c>
      <c r="D48" s="18">
        <f>+$D$44/Tabla2[[#This Row],[family_area]]</f>
        <v>2.5</v>
      </c>
    </row>
    <row r="49" spans="1:5" ht="15.75" thickBot="1" x14ac:dyDescent="0.3">
      <c r="A49" s="61" t="s">
        <v>150</v>
      </c>
      <c r="B49" s="64">
        <v>0.1</v>
      </c>
      <c r="C49">
        <v>0.1</v>
      </c>
      <c r="D49" s="18">
        <f>+$D$44/Tabla2[[#This Row],[family_area]]</f>
        <v>100</v>
      </c>
    </row>
    <row r="50" spans="1:5" ht="15.75" thickBot="1" x14ac:dyDescent="0.3">
      <c r="A50" s="61" t="s">
        <v>151</v>
      </c>
      <c r="B50" s="64">
        <v>3</v>
      </c>
      <c r="C50">
        <v>0.5</v>
      </c>
      <c r="D50" s="18">
        <f>+$D$44/Tabla2[[#This Row],[family_area]]</f>
        <v>3.3333333333333335</v>
      </c>
    </row>
    <row r="51" spans="1:5" ht="15.75" thickBot="1" x14ac:dyDescent="0.3">
      <c r="A51" s="61" t="s">
        <v>152</v>
      </c>
      <c r="B51" s="64">
        <v>5</v>
      </c>
      <c r="C51">
        <v>2</v>
      </c>
      <c r="D51" s="18">
        <f>+$D$44/Tabla2[[#This Row],[family_area]]</f>
        <v>2</v>
      </c>
    </row>
    <row r="52" spans="1:5" ht="15.75" thickBot="1" x14ac:dyDescent="0.3">
      <c r="A52" s="61" t="s">
        <v>153</v>
      </c>
      <c r="B52" s="64">
        <v>10</v>
      </c>
      <c r="C52">
        <v>10</v>
      </c>
      <c r="D52" s="18">
        <f>+$D$44/Tabla2[[#This Row],[family_area]]</f>
        <v>1</v>
      </c>
    </row>
    <row r="53" spans="1:5" ht="15.75" thickBot="1" x14ac:dyDescent="0.3">
      <c r="A53" s="61" t="s">
        <v>154</v>
      </c>
      <c r="B53" s="64">
        <v>10</v>
      </c>
      <c r="C53">
        <v>10</v>
      </c>
      <c r="D53" s="18">
        <f>+$D$44/Tabla2[[#This Row],[family_area]]</f>
        <v>1</v>
      </c>
      <c r="E53" t="s">
        <v>158</v>
      </c>
    </row>
    <row r="54" spans="1:5" x14ac:dyDescent="0.25">
      <c r="A54" s="59"/>
      <c r="B54" s="62"/>
      <c r="E54" s="6" t="s">
        <v>159</v>
      </c>
    </row>
  </sheetData>
  <pageMargins left="0.7" right="0.7" top="0.75" bottom="0.75" header="0.3" footer="0.3"/>
  <pageSetup paperSize="9" orientation="portrait" horizontalDpi="0" verticalDpi="0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53</v>
      </c>
      <c r="C1" t="s">
        <v>54</v>
      </c>
      <c r="E1" t="s">
        <v>53</v>
      </c>
      <c r="F1" t="s">
        <v>55</v>
      </c>
    </row>
    <row r="2" spans="1:7" x14ac:dyDescent="0.25">
      <c r="A2" t="s">
        <v>48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49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50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51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24</v>
      </c>
      <c r="C10" s="5" t="s">
        <v>40</v>
      </c>
      <c r="E10" s="12" t="s">
        <v>52</v>
      </c>
      <c r="F10" s="5" t="s">
        <v>46</v>
      </c>
      <c r="G10" s="5" t="s">
        <v>47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2021-06-27T18:18:53Z</dcterms:modified>
</cp:coreProperties>
</file>