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E7AD388D-0933-48B1-9A40-29E19E12BDE3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5" i="3" l="1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J46" i="3"/>
  <c r="J49" i="3" s="1"/>
  <c r="I46" i="3"/>
  <c r="I49" i="3" s="1"/>
  <c r="H46" i="3"/>
  <c r="H48" i="3" s="1"/>
  <c r="G46" i="3"/>
  <c r="G49" i="3" s="1"/>
  <c r="F46" i="3"/>
  <c r="F49" i="3" s="1"/>
  <c r="E46" i="3"/>
  <c r="E49" i="3" s="1"/>
  <c r="D46" i="3"/>
  <c r="D49" i="3" s="1"/>
  <c r="C46" i="3"/>
  <c r="C49" i="3" s="1"/>
  <c r="B46" i="3"/>
  <c r="B49" i="3" s="1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H49" i="3" l="1"/>
  <c r="C48" i="3"/>
  <c r="F48" i="3"/>
  <c r="G48" i="3"/>
  <c r="I48" i="3"/>
  <c r="B48" i="3"/>
  <c r="J48" i="3"/>
  <c r="D48" i="3"/>
  <c r="E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26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0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<sst xmlns="http://schemas.openxmlformats.org/spreadsheetml/2006/main" count="131" uniqueCount="99">
  <si>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</si>
  <si>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</si>
  <si>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</si>
  <si>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</si>
  <si>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</si>
  <si>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</si>
  <si>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</si>
  <si>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</si>
  <si>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</si>
  <si>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</si>
  <si>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</si>
  <si>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</si>
  <si>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</si>
  <si>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</si>
  <si>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</si>
  <si>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</si>
  <si>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</si>
  <si>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</si>
  <si>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</si>
  <si>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</si>
  <si>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</si>
  <si>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</si>
  <si>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</si>
  <si>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</si>
  <si>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</si>
  <si>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</si>
  <si>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</si>
  <si>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</si>
  <si>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</si>
  <si>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</si>
  <si>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</si>
  <si>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</si>
  <si>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</si>
  <si>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</si>
  <si>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</si>
  <si>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</si>
  <si>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</si>
  <si>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</si>
  <si>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</si>
  <si>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</si>
  <si>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</si>
  <si>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</si>
  <si>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</si>
  <si>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</si>
  <si>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</si>
  <si>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</si>
  <si>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</si>
  <si>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</si>
  <si>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</si>
  <si>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</si>
  <si>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</si>
  <si>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</si>
  <si>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</si>
  <si>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</si>
  <si>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TREE_CONTINENTAL_2</t>
  </si>
  <si>
    <t>Tree continental 2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</si>
  <si>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</si>
  <si>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</si>
  <si>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</si>
  <si>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</si>
  <si>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</si>
  <si>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</si>
  <si>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</si>
  <si>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</si>
  <si>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</si>
  <si>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</si>
  <si>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</si>
  <si>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</si>
  <si>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</si>
  <si>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</si>
  <si>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</si>
  <si>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</si>
  <si>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</si>
  <si>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</si>
  <si>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</si>
  <si>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</si>
  <si>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</si>
  <si>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</si>
  <si>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</si>
  <si>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</si>
  <si>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</si>
  <si>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climate_ET0_evotranspiration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</si>
  <si>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</si>
  <si>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</si>
  <si>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</si>
  <si>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</si>
  <si>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</si>
  <si>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</si>
  <si>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</si>
  <si>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</si>
  <si>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</si>
  <si>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</si>
  <si>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</si>
  <si>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</si>
  <si>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anabolism_input maximum</t>
  </si>
  <si>
    <t>T.Level2</t>
  </si>
  <si>
    <t>BIOMASS_LIFE_FACTOR</t>
  </si>
  <si>
    <t>control Q per salvar</t>
  </si>
  <si>
    <t>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</si>
</sst>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0" fontId="2" fillId="8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10" fillId="6" borderId="0" xfId="0" applyFont="1" applyFill="1" applyAlignment="1">
      <alignment wrapText="1"/>
    </xf>
    <xf numFmtId="0" fontId="2" fillId="9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3" xfId="0" applyFont="1" applyBorder="1"/>
    <xf numFmtId="0" fontId="3" fillId="0" borderId="2" xfId="0" applyFont="1" applyBorder="1"/>
    <xf numFmtId="0" fontId="3" fillId="0" borderId="4" xfId="0" applyFont="1" applyBorder="1"/>
    <xf numFmtId="0" fontId="0" fillId="0" borderId="1" xfId="0" applyBorder="1"/>
    <xf numFmtId="0" fontId="2" fillId="6" borderId="0" xfId="0" applyFont="1" applyFill="1"/>
    <xf numFmtId="0" fontId="2" fillId="10" borderId="0" xfId="0" applyFont="1" applyFill="1"/>
    <xf numFmtId="0" fontId="2" fillId="11" borderId="0" xfId="0" applyFont="1" applyFill="1"/>
    <xf numFmtId="164" fontId="8" fillId="12" borderId="0" xfId="0" applyNumberFormat="1" applyFont="1" applyFill="1"/>
    <xf numFmtId="165" fontId="0" fillId="0" borderId="0" xfId="0" applyNumberFormat="1"/>
    <xf numFmtId="165" fontId="3" fillId="0" borderId="0" xfId="0" applyNumberFormat="1" applyFont="1"/>
    <xf numFmtId="0" fontId="11" fillId="0" borderId="0" xfId="0" applyFont="1"/>
    <xf numFmtId="0" fontId="12" fillId="3" borderId="0" xfId="0" applyFon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workbookViewId="0">
      <pane xSplit="1" ySplit="6" topLeftCell="D37" activePane="bottomRight" state="frozen"/>
      <selection pane="topRight" activeCell="B1" sqref="B1"/>
      <selection pane="bottomLeft" activeCell="A6" sqref="A6"/>
      <selection pane="bottomRight" activeCell="N28" sqref="N28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86</v>
      </c>
      <c r="B1" s="19">
        <f ca="1">NOW()</f>
        <v>44332.807571527781</v>
      </c>
      <c r="G1" s="40" t="s">
        <v>97</v>
      </c>
    </row>
    <row r="2" spans="1:15" x14ac:dyDescent="0.25">
      <c r="A2" s="6" t="s">
        <v>81</v>
      </c>
      <c r="B2" s="7">
        <v>180</v>
      </c>
      <c r="G2" t="s">
        <v>73</v>
      </c>
    </row>
    <row r="3" spans="1:15" x14ac:dyDescent="0.25">
      <c r="A3" t="s">
        <v>79</v>
      </c>
      <c r="B3" s="1">
        <v>0.1</v>
      </c>
      <c r="G3" s="18" t="s">
        <v>83</v>
      </c>
      <c r="H3" s="18"/>
      <c r="I3" s="18"/>
      <c r="J3" s="18"/>
      <c r="K3" s="18"/>
      <c r="L3" s="18"/>
      <c r="M3" s="18"/>
      <c r="N3" s="18"/>
    </row>
    <row r="5" spans="1:15" x14ac:dyDescent="0.25">
      <c r="A5" t="s">
        <v>36</v>
      </c>
      <c r="B5" s="34" t="s">
        <v>8</v>
      </c>
      <c r="C5" s="34" t="s">
        <v>8</v>
      </c>
      <c r="D5" s="34" t="s">
        <v>8</v>
      </c>
      <c r="E5" s="34" t="s">
        <v>8</v>
      </c>
      <c r="F5" s="34" t="s">
        <v>8</v>
      </c>
      <c r="G5" s="34" t="s">
        <v>8</v>
      </c>
      <c r="H5" s="34" t="s">
        <v>8</v>
      </c>
      <c r="I5" s="34" t="s">
        <v>8</v>
      </c>
      <c r="J5" s="34" t="s">
        <v>8</v>
      </c>
      <c r="K5" s="35" t="s">
        <v>9</v>
      </c>
      <c r="L5" s="35" t="s">
        <v>9</v>
      </c>
      <c r="M5" s="35" t="s">
        <v>9</v>
      </c>
      <c r="N5" s="35" t="s">
        <v>9</v>
      </c>
      <c r="O5" s="36" t="s">
        <v>6</v>
      </c>
    </row>
    <row r="6" spans="1:15" ht="23.25" x14ac:dyDescent="0.25">
      <c r="A6" t="s">
        <v>37</v>
      </c>
      <c r="B6" s="10" t="s">
        <v>11</v>
      </c>
      <c r="C6" s="11" t="s">
        <v>43</v>
      </c>
      <c r="D6" s="11" t="s">
        <v>51</v>
      </c>
      <c r="E6" s="10" t="s">
        <v>54</v>
      </c>
      <c r="F6" s="25" t="s">
        <v>38</v>
      </c>
      <c r="G6" s="11" t="s">
        <v>12</v>
      </c>
      <c r="H6" s="24" t="s">
        <v>77</v>
      </c>
      <c r="I6" s="10" t="s">
        <v>13</v>
      </c>
      <c r="J6" s="12" t="s">
        <v>47</v>
      </c>
      <c r="K6" s="10" t="s">
        <v>15</v>
      </c>
      <c r="L6" s="11" t="s">
        <v>14</v>
      </c>
      <c r="M6" s="10" t="s">
        <v>87</v>
      </c>
      <c r="N6" s="10" t="s">
        <v>91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2"/>
      <c r="I7" s="4"/>
      <c r="J7" s="4"/>
      <c r="K7" s="4"/>
      <c r="L7" s="4"/>
      <c r="M7" s="4"/>
      <c r="N7" s="4"/>
      <c r="O7" s="4"/>
    </row>
    <row r="8" spans="1:15" x14ac:dyDescent="0.25">
      <c r="A8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3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t="s">
        <v>75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3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5" t="s">
        <v>76</v>
      </c>
      <c r="B10" s="5" t="s">
        <v>16</v>
      </c>
      <c r="C10" s="5" t="s">
        <v>53</v>
      </c>
      <c r="D10" s="5" t="s">
        <v>52</v>
      </c>
      <c r="E10" s="5" t="s">
        <v>55</v>
      </c>
      <c r="F10" s="5" t="s">
        <v>40</v>
      </c>
      <c r="G10" s="5" t="s">
        <v>17</v>
      </c>
      <c r="H10" s="26" t="s">
        <v>78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88</v>
      </c>
      <c r="N10" s="5" t="s">
        <v>92</v>
      </c>
      <c r="O10" s="5" t="s">
        <v>21</v>
      </c>
    </row>
    <row r="11" spans="1:15" x14ac:dyDescent="0.25">
      <c r="A11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t="s">
        <v>74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33" t="s">
        <v>62</v>
      </c>
      <c r="B14">
        <v>30</v>
      </c>
      <c r="C14">
        <v>30</v>
      </c>
      <c r="D14">
        <v>30</v>
      </c>
      <c r="E14">
        <v>30</v>
      </c>
      <c r="F14">
        <v>3</v>
      </c>
      <c r="G14">
        <v>30</v>
      </c>
      <c r="H14" s="8">
        <v>180</v>
      </c>
      <c r="I14">
        <v>30</v>
      </c>
      <c r="J14">
        <v>30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t="s">
        <v>23</v>
      </c>
      <c r="B15">
        <v>12</v>
      </c>
      <c r="C15">
        <v>6</v>
      </c>
      <c r="D15">
        <v>10</v>
      </c>
      <c r="E15">
        <v>10</v>
      </c>
      <c r="F15">
        <v>15</v>
      </c>
      <c r="G15">
        <v>3</v>
      </c>
      <c r="H15" s="8">
        <v>3</v>
      </c>
      <c r="I15">
        <v>3</v>
      </c>
      <c r="J15">
        <v>3</v>
      </c>
      <c r="K15">
        <v>4</v>
      </c>
      <c r="L15">
        <v>3</v>
      </c>
      <c r="M15">
        <v>7</v>
      </c>
      <c r="N15">
        <v>10</v>
      </c>
      <c r="O15">
        <v>7</v>
      </c>
    </row>
    <row r="16" spans="1:15" x14ac:dyDescent="0.25">
      <c r="A16" s="27" t="s">
        <v>24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 s="8">
        <v>1</v>
      </c>
      <c r="I16">
        <v>1</v>
      </c>
      <c r="J16">
        <v>1</v>
      </c>
      <c r="K16">
        <v>0.3</v>
      </c>
      <c r="L16">
        <v>0.3</v>
      </c>
      <c r="M16">
        <v>0.3</v>
      </c>
      <c r="N16">
        <v>0.3</v>
      </c>
      <c r="O16">
        <v>1</v>
      </c>
    </row>
    <row r="17" spans="1:15" x14ac:dyDescent="0.25">
      <c r="A17" s="28" t="s">
        <v>25</v>
      </c>
      <c r="B17">
        <v>64</v>
      </c>
      <c r="C17">
        <v>64</v>
      </c>
      <c r="D17">
        <v>128</v>
      </c>
      <c r="E17">
        <v>128</v>
      </c>
      <c r="F17">
        <v>64</v>
      </c>
      <c r="G17">
        <v>64</v>
      </c>
      <c r="H17" s="8">
        <v>64</v>
      </c>
      <c r="I17">
        <v>64</v>
      </c>
      <c r="J17">
        <v>64</v>
      </c>
      <c r="K17">
        <v>1</v>
      </c>
      <c r="L17">
        <v>32</v>
      </c>
      <c r="M17">
        <v>32</v>
      </c>
      <c r="N17">
        <v>48</v>
      </c>
      <c r="O17">
        <v>1</v>
      </c>
    </row>
    <row r="18" spans="1:15" x14ac:dyDescent="0.25">
      <c r="A18" s="29" t="s">
        <v>42</v>
      </c>
      <c r="B18">
        <v>1</v>
      </c>
      <c r="C18">
        <v>1</v>
      </c>
      <c r="D18">
        <v>1</v>
      </c>
      <c r="E18">
        <v>1</v>
      </c>
      <c r="F18">
        <v>1</v>
      </c>
      <c r="G18">
        <v>4</v>
      </c>
      <c r="H18" s="8">
        <v>2</v>
      </c>
      <c r="I18">
        <v>1</v>
      </c>
      <c r="J18">
        <v>4</v>
      </c>
      <c r="K18">
        <v>2</v>
      </c>
      <c r="L18">
        <v>3</v>
      </c>
      <c r="M18">
        <v>3</v>
      </c>
      <c r="N18">
        <v>2</v>
      </c>
      <c r="O18">
        <v>1</v>
      </c>
    </row>
    <row r="19" spans="1:15" x14ac:dyDescent="0.25">
      <c r="A19" s="27" t="s">
        <v>84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8">
        <v>0</v>
      </c>
      <c r="I19">
        <v>0</v>
      </c>
      <c r="J19">
        <v>0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1:15" x14ac:dyDescent="0.25">
      <c r="A20" s="29" t="s">
        <v>85</v>
      </c>
      <c r="B20">
        <v>3</v>
      </c>
      <c r="C20">
        <v>3</v>
      </c>
      <c r="D20">
        <v>3</v>
      </c>
      <c r="E20">
        <v>3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2</v>
      </c>
      <c r="L20">
        <v>2</v>
      </c>
      <c r="M20">
        <v>2</v>
      </c>
      <c r="N20">
        <v>2</v>
      </c>
      <c r="O20">
        <v>2</v>
      </c>
    </row>
    <row r="21" spans="1:15" x14ac:dyDescent="0.25">
      <c r="A21" s="29" t="s">
        <v>28</v>
      </c>
      <c r="B21">
        <v>800</v>
      </c>
      <c r="C21">
        <v>250</v>
      </c>
      <c r="D21">
        <v>200</v>
      </c>
      <c r="E21">
        <v>300</v>
      </c>
      <c r="F21">
        <v>8</v>
      </c>
      <c r="G21">
        <v>8</v>
      </c>
      <c r="H21" s="8">
        <v>400</v>
      </c>
      <c r="I21">
        <v>10</v>
      </c>
      <c r="J21">
        <v>10</v>
      </c>
      <c r="K21">
        <v>10</v>
      </c>
      <c r="L21">
        <v>5</v>
      </c>
      <c r="M21">
        <v>7</v>
      </c>
      <c r="N21">
        <v>6</v>
      </c>
      <c r="O21">
        <v>50</v>
      </c>
    </row>
    <row r="22" spans="1:15" x14ac:dyDescent="0.25">
      <c r="A22" s="8" t="s">
        <v>98</v>
      </c>
      <c r="B22" s="8">
        <v>10</v>
      </c>
      <c r="C22" s="8">
        <v>10</v>
      </c>
      <c r="D22" s="8">
        <v>10</v>
      </c>
      <c r="E22" s="8">
        <v>10</v>
      </c>
      <c r="F22" s="8">
        <v>1</v>
      </c>
      <c r="G22" s="8">
        <v>1</v>
      </c>
      <c r="H22" s="8">
        <v>1</v>
      </c>
      <c r="I22" s="8">
        <v>1</v>
      </c>
      <c r="J22" s="8">
        <v>1</v>
      </c>
      <c r="K22" s="8">
        <v>1</v>
      </c>
      <c r="L22" s="8">
        <v>1</v>
      </c>
      <c r="M22" s="8">
        <v>1</v>
      </c>
      <c r="N22" s="8">
        <v>1</v>
      </c>
      <c r="O22" s="8">
        <v>1</v>
      </c>
    </row>
    <row r="23" spans="1:15" x14ac:dyDescent="0.25">
      <c r="A23" s="27" t="s">
        <v>61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8">
        <v>0</v>
      </c>
      <c r="I23">
        <v>0</v>
      </c>
      <c r="J23">
        <v>0</v>
      </c>
      <c r="K23">
        <v>0.2</v>
      </c>
      <c r="L23">
        <v>0.4</v>
      </c>
      <c r="M23">
        <v>0.4</v>
      </c>
      <c r="N23">
        <v>0.4</v>
      </c>
      <c r="O23">
        <v>0.2</v>
      </c>
    </row>
    <row r="24" spans="1:15" x14ac:dyDescent="0.25">
      <c r="A24" s="30" t="s">
        <v>26</v>
      </c>
      <c r="B24">
        <v>0.1</v>
      </c>
      <c r="C24">
        <v>0.1</v>
      </c>
      <c r="D24">
        <v>0.1</v>
      </c>
      <c r="E24">
        <v>0.1</v>
      </c>
      <c r="F24">
        <v>0.2</v>
      </c>
      <c r="G24">
        <v>0.1</v>
      </c>
      <c r="H24" s="8">
        <v>0.1</v>
      </c>
      <c r="I24">
        <v>0.1</v>
      </c>
      <c r="J24">
        <v>0.1</v>
      </c>
      <c r="K24">
        <v>0.2</v>
      </c>
      <c r="L24">
        <v>0.2</v>
      </c>
      <c r="M24">
        <v>0.3</v>
      </c>
      <c r="N24">
        <v>0.3</v>
      </c>
      <c r="O24">
        <v>0.2</v>
      </c>
    </row>
    <row r="25" spans="1:15" x14ac:dyDescent="0.25">
      <c r="A25" s="29" t="s">
        <v>96</v>
      </c>
      <c r="B25">
        <v>0.6</v>
      </c>
      <c r="C25">
        <v>0.6</v>
      </c>
      <c r="D25">
        <v>0.6</v>
      </c>
      <c r="E25">
        <v>0.6</v>
      </c>
      <c r="F25">
        <v>0.6</v>
      </c>
      <c r="G25">
        <v>0.6</v>
      </c>
      <c r="H25">
        <v>0.6</v>
      </c>
      <c r="I25">
        <v>0.6</v>
      </c>
      <c r="J25">
        <v>0.6</v>
      </c>
      <c r="K25">
        <v>0.6</v>
      </c>
      <c r="L25">
        <v>0.8</v>
      </c>
      <c r="M25">
        <v>0.6</v>
      </c>
      <c r="N25">
        <v>0.5</v>
      </c>
      <c r="O25">
        <v>0.6</v>
      </c>
    </row>
    <row r="26" spans="1:15" x14ac:dyDescent="0.25">
      <c r="A26" s="27" t="s">
        <v>89</v>
      </c>
      <c r="B26" s="1">
        <v>0.4</v>
      </c>
      <c r="C26" s="1">
        <v>0.01</v>
      </c>
      <c r="D26" s="1">
        <v>0.05</v>
      </c>
      <c r="E26" s="1">
        <v>0.06</v>
      </c>
      <c r="F26" s="1">
        <v>1</v>
      </c>
      <c r="G26" s="1">
        <v>0.04</v>
      </c>
      <c r="H26" s="9">
        <v>0.17</v>
      </c>
      <c r="I26" s="1">
        <v>0.04</v>
      </c>
      <c r="J26" s="1">
        <v>0.04</v>
      </c>
      <c r="K26" s="6">
        <v>0.3</v>
      </c>
      <c r="L26">
        <v>0.1</v>
      </c>
      <c r="M26">
        <v>0.5</v>
      </c>
      <c r="N26">
        <v>0.5</v>
      </c>
      <c r="O26">
        <v>0.1</v>
      </c>
    </row>
    <row r="27" spans="1:15" x14ac:dyDescent="0.25">
      <c r="A27" s="29" t="s">
        <v>57</v>
      </c>
      <c r="B27" s="1">
        <v>0.2</v>
      </c>
      <c r="C27" s="1">
        <v>0.01</v>
      </c>
      <c r="D27" s="1">
        <v>0.2</v>
      </c>
      <c r="E27" s="1">
        <v>0.8</v>
      </c>
      <c r="F27" s="1">
        <v>0.1</v>
      </c>
      <c r="G27" s="41">
        <v>0.2</v>
      </c>
      <c r="H27" s="9">
        <v>0.2</v>
      </c>
      <c r="I27" s="1">
        <v>0.4</v>
      </c>
      <c r="J27" s="1">
        <v>0.4</v>
      </c>
      <c r="K27" s="7">
        <v>0.05</v>
      </c>
      <c r="L27" s="1">
        <v>0.05</v>
      </c>
      <c r="M27" s="1">
        <v>0.1</v>
      </c>
      <c r="N27" s="1">
        <v>0.1</v>
      </c>
      <c r="O27" s="1">
        <v>0.12</v>
      </c>
    </row>
    <row r="28" spans="1:15" x14ac:dyDescent="0.25">
      <c r="A28" s="27" t="s">
        <v>29</v>
      </c>
      <c r="B28" s="1">
        <v>30</v>
      </c>
      <c r="C28" s="1">
        <v>24</v>
      </c>
      <c r="D28" s="1">
        <v>15</v>
      </c>
      <c r="E28" s="1">
        <v>5</v>
      </c>
      <c r="F28" s="1">
        <v>20</v>
      </c>
      <c r="G28" s="1">
        <v>25</v>
      </c>
      <c r="H28" s="9">
        <v>20</v>
      </c>
      <c r="I28" s="1">
        <v>20</v>
      </c>
      <c r="J28" s="1">
        <v>-10</v>
      </c>
      <c r="K28" s="7">
        <v>0</v>
      </c>
      <c r="L28" s="7">
        <v>15</v>
      </c>
      <c r="M28" s="7">
        <v>15</v>
      </c>
      <c r="N28" s="7">
        <v>15</v>
      </c>
      <c r="O28" s="7">
        <v>0</v>
      </c>
    </row>
    <row r="29" spans="1:15" x14ac:dyDescent="0.25">
      <c r="A29" s="29" t="s">
        <v>41</v>
      </c>
      <c r="B29" s="1">
        <v>15</v>
      </c>
      <c r="C29" s="1">
        <v>3</v>
      </c>
      <c r="D29" s="9">
        <v>5</v>
      </c>
      <c r="E29" s="1">
        <v>10</v>
      </c>
      <c r="F29" s="1">
        <v>10</v>
      </c>
      <c r="G29" s="1">
        <v>6</v>
      </c>
      <c r="H29" s="9">
        <v>10</v>
      </c>
      <c r="I29" s="1">
        <v>5</v>
      </c>
      <c r="J29" s="1">
        <v>20</v>
      </c>
      <c r="K29" s="7">
        <v>50</v>
      </c>
      <c r="L29" s="7">
        <v>15</v>
      </c>
      <c r="M29" s="7">
        <v>15</v>
      </c>
      <c r="N29" s="7">
        <v>15</v>
      </c>
      <c r="O29" s="7">
        <v>50</v>
      </c>
    </row>
    <row r="30" spans="1:15" x14ac:dyDescent="0.25">
      <c r="A30" s="31" t="s">
        <v>58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9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</row>
    <row r="31" spans="1:15" x14ac:dyDescent="0.25">
      <c r="A31" s="30" t="s">
        <v>59</v>
      </c>
      <c r="B31" s="9">
        <v>0.9</v>
      </c>
      <c r="C31" s="9">
        <v>0.9</v>
      </c>
      <c r="D31" s="9">
        <v>0.9</v>
      </c>
      <c r="E31" s="9">
        <v>0.9</v>
      </c>
      <c r="F31" s="9">
        <v>0.1</v>
      </c>
      <c r="G31" s="9">
        <v>0.9</v>
      </c>
      <c r="H31" s="9">
        <v>0.7</v>
      </c>
      <c r="I31" s="9">
        <v>0.9</v>
      </c>
      <c r="J31" s="9">
        <v>0.9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</row>
    <row r="32" spans="1:15" x14ac:dyDescent="0.25">
      <c r="A32" s="32" t="s">
        <v>60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9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</row>
    <row r="33" spans="1:15" x14ac:dyDescent="0.25">
      <c r="A33" s="27" t="s">
        <v>31</v>
      </c>
      <c r="B33" s="1">
        <v>1600</v>
      </c>
      <c r="C33" s="1">
        <v>0</v>
      </c>
      <c r="D33" s="1">
        <v>0</v>
      </c>
      <c r="E33" s="1">
        <v>400</v>
      </c>
      <c r="F33" s="1">
        <v>0</v>
      </c>
      <c r="G33" s="1">
        <v>0</v>
      </c>
      <c r="H33" s="9">
        <v>0</v>
      </c>
      <c r="I33" s="1">
        <v>0</v>
      </c>
      <c r="J33" s="1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 s="28" t="s">
        <v>32</v>
      </c>
      <c r="B34" s="1">
        <v>1.2</v>
      </c>
      <c r="C34" s="1">
        <v>0</v>
      </c>
      <c r="D34" s="1">
        <v>0</v>
      </c>
      <c r="E34" s="1">
        <v>1.2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25">
      <c r="A35" s="28" t="s">
        <v>33</v>
      </c>
      <c r="B35" s="1">
        <v>50</v>
      </c>
      <c r="C35" s="1">
        <v>175</v>
      </c>
      <c r="D35" s="1">
        <v>175</v>
      </c>
      <c r="E35" s="1">
        <v>50</v>
      </c>
      <c r="F35" s="1">
        <v>40</v>
      </c>
      <c r="G35" s="1">
        <v>30</v>
      </c>
      <c r="H35" s="9">
        <v>350</v>
      </c>
      <c r="I35" s="1">
        <v>10</v>
      </c>
      <c r="J35" s="1">
        <v>5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A36" s="29" t="s">
        <v>34</v>
      </c>
      <c r="B36" s="1">
        <v>1</v>
      </c>
      <c r="C36" s="1">
        <v>1.3</v>
      </c>
      <c r="D36" s="1">
        <v>1</v>
      </c>
      <c r="E36" s="1">
        <v>1</v>
      </c>
      <c r="F36" s="1">
        <v>1</v>
      </c>
      <c r="G36" s="1">
        <v>1</v>
      </c>
      <c r="H36" s="9">
        <v>1</v>
      </c>
      <c r="I36" s="1">
        <v>1</v>
      </c>
      <c r="J36" s="1">
        <v>1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31" t="s">
        <v>90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5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5" t="s">
        <v>56</v>
      </c>
      <c r="F43" s="5" t="s">
        <v>45</v>
      </c>
      <c r="H43" s="16"/>
      <c r="J43" s="5" t="s">
        <v>46</v>
      </c>
    </row>
    <row r="44" spans="1:15" x14ac:dyDescent="0.25">
      <c r="H44" s="6"/>
    </row>
    <row r="45" spans="1:15" x14ac:dyDescent="0.25">
      <c r="A45" t="s">
        <v>95</v>
      </c>
      <c r="B45" s="34" t="str">
        <f t="shared" ref="B45:O45" si="0">+B5</f>
        <v>PRODUCER</v>
      </c>
      <c r="C45" s="34" t="str">
        <f t="shared" si="0"/>
        <v>PRODUCER</v>
      </c>
      <c r="D45" s="34" t="str">
        <f t="shared" si="0"/>
        <v>PRODUCER</v>
      </c>
      <c r="E45" s="34" t="str">
        <f t="shared" si="0"/>
        <v>PRODUCER</v>
      </c>
      <c r="F45" s="34" t="str">
        <f t="shared" si="0"/>
        <v>PRODUCER</v>
      </c>
      <c r="G45" s="34" t="str">
        <f t="shared" si="0"/>
        <v>PRODUCER</v>
      </c>
      <c r="H45" s="34" t="str">
        <f t="shared" si="0"/>
        <v>PRODUCER</v>
      </c>
      <c r="I45" s="34" t="str">
        <f t="shared" si="0"/>
        <v>PRODUCER</v>
      </c>
      <c r="J45" s="34" t="str">
        <f t="shared" si="0"/>
        <v>PRODUCER</v>
      </c>
      <c r="K45" s="35" t="str">
        <f t="shared" si="0"/>
        <v>PRIMARY</v>
      </c>
      <c r="L45" s="35" t="str">
        <f t="shared" si="0"/>
        <v>PRIMARY</v>
      </c>
      <c r="M45" s="35" t="str">
        <f t="shared" si="0"/>
        <v>PRIMARY</v>
      </c>
      <c r="N45" s="35" t="str">
        <f t="shared" si="0"/>
        <v>PRIMARY</v>
      </c>
      <c r="O45" s="36" t="str">
        <f t="shared" si="0"/>
        <v>SECONDARY</v>
      </c>
    </row>
    <row r="46" spans="1:15" x14ac:dyDescent="0.25">
      <c r="A46" t="s">
        <v>39</v>
      </c>
      <c r="B46" s="17">
        <f t="shared" ref="B46:J46" si="1">+B27/B26/B14/$B$3</f>
        <v>0.16666666666666666</v>
      </c>
      <c r="C46" s="17">
        <f t="shared" si="1"/>
        <v>0.33333333333333331</v>
      </c>
      <c r="D46" s="17">
        <f t="shared" si="1"/>
        <v>1.3333333333333333</v>
      </c>
      <c r="E46" s="17">
        <f t="shared" si="1"/>
        <v>4.4444444444444446</v>
      </c>
      <c r="F46" s="17">
        <f t="shared" si="1"/>
        <v>0.33333333333333331</v>
      </c>
      <c r="G46" s="17">
        <f t="shared" si="1"/>
        <v>1.6666666666666665</v>
      </c>
      <c r="H46" s="17">
        <f t="shared" si="1"/>
        <v>6.535947712418301E-2</v>
      </c>
      <c r="I46" s="17">
        <f t="shared" si="1"/>
        <v>3.333333333333333</v>
      </c>
      <c r="J46" s="17">
        <f t="shared" si="1"/>
        <v>3.333333333333333</v>
      </c>
      <c r="K46" s="37">
        <f>+K23</f>
        <v>0.2</v>
      </c>
      <c r="L46" s="37">
        <f>+L23</f>
        <v>0.4</v>
      </c>
      <c r="M46" s="37">
        <f>+M23</f>
        <v>0.4</v>
      </c>
      <c r="N46" s="37">
        <f>+N23</f>
        <v>0.4</v>
      </c>
      <c r="O46" s="37">
        <f>+O23</f>
        <v>0.2</v>
      </c>
    </row>
    <row r="47" spans="1:15" x14ac:dyDescent="0.25">
      <c r="H47" s="6"/>
    </row>
    <row r="48" spans="1:15" x14ac:dyDescent="0.25">
      <c r="A48" t="s">
        <v>94</v>
      </c>
      <c r="B48" s="20">
        <f t="shared" ref="B48:J48" si="2">+B46*B21*$B$3*$B$2</f>
        <v>2400</v>
      </c>
      <c r="C48" s="20">
        <f t="shared" si="2"/>
        <v>1500</v>
      </c>
      <c r="D48" s="20">
        <f t="shared" si="2"/>
        <v>4800</v>
      </c>
      <c r="E48" s="20">
        <f t="shared" si="2"/>
        <v>24000</v>
      </c>
      <c r="F48" s="20">
        <f t="shared" si="2"/>
        <v>48</v>
      </c>
      <c r="G48" s="20">
        <f t="shared" si="2"/>
        <v>240</v>
      </c>
      <c r="H48" s="20">
        <f t="shared" si="2"/>
        <v>470.58823529411774</v>
      </c>
      <c r="I48" s="20">
        <f t="shared" si="2"/>
        <v>600</v>
      </c>
      <c r="J48" s="20">
        <f t="shared" si="2"/>
        <v>600</v>
      </c>
      <c r="K48" s="38">
        <f>+K46*K21</f>
        <v>2</v>
      </c>
      <c r="L48" s="38">
        <f>+L46*L21</f>
        <v>2</v>
      </c>
      <c r="M48" s="38">
        <f>+M46*M21</f>
        <v>2.8000000000000003</v>
      </c>
      <c r="N48" s="38">
        <f>+N46*N21</f>
        <v>2.4000000000000004</v>
      </c>
      <c r="O48" s="38">
        <f>+O46*O21</f>
        <v>10</v>
      </c>
    </row>
    <row r="49" spans="1:15" x14ac:dyDescent="0.25">
      <c r="A49" t="s">
        <v>82</v>
      </c>
      <c r="B49" s="21">
        <f t="shared" ref="B49:J49" si="3">+B26*B46*$B$3*B14*B21</f>
        <v>160</v>
      </c>
      <c r="C49" s="21">
        <f t="shared" si="3"/>
        <v>2.5</v>
      </c>
      <c r="D49" s="21">
        <f t="shared" si="3"/>
        <v>40</v>
      </c>
      <c r="E49" s="21">
        <f t="shared" si="3"/>
        <v>240</v>
      </c>
      <c r="F49" s="21">
        <f t="shared" si="3"/>
        <v>0.8</v>
      </c>
      <c r="G49" s="21">
        <f t="shared" si="3"/>
        <v>1.6</v>
      </c>
      <c r="H49" s="21">
        <f t="shared" si="3"/>
        <v>80.000000000000014</v>
      </c>
      <c r="I49" s="21">
        <f t="shared" si="3"/>
        <v>4</v>
      </c>
      <c r="J49" s="21">
        <f t="shared" si="3"/>
        <v>4</v>
      </c>
      <c r="K49" s="39">
        <f>+K48*K26</f>
        <v>0.6</v>
      </c>
      <c r="L49" s="39">
        <f>+L48*L26</f>
        <v>0.2</v>
      </c>
      <c r="M49" s="39">
        <f>+M48*M26</f>
        <v>1.4000000000000001</v>
      </c>
      <c r="N49" s="39">
        <f>+N48*N26</f>
        <v>1.2000000000000002</v>
      </c>
      <c r="O49" s="39">
        <f>+O48*O26</f>
        <v>1</v>
      </c>
    </row>
    <row r="50" spans="1:15" x14ac:dyDescent="0.25">
      <c r="A50" t="s">
        <v>80</v>
      </c>
      <c r="B50" s="21">
        <f t="shared" ref="B50:G50" si="4">+B27*B21</f>
        <v>160</v>
      </c>
      <c r="C50" s="21">
        <f t="shared" si="4"/>
        <v>2.5</v>
      </c>
      <c r="D50" s="21">
        <f t="shared" si="4"/>
        <v>40</v>
      </c>
      <c r="E50" s="21">
        <f t="shared" si="4"/>
        <v>240</v>
      </c>
      <c r="F50" s="21">
        <f t="shared" si="4"/>
        <v>0.8</v>
      </c>
      <c r="G50" s="21">
        <f t="shared" si="4"/>
        <v>1.6</v>
      </c>
      <c r="H50" s="21">
        <f>+H27*H21</f>
        <v>80</v>
      </c>
      <c r="I50" s="21">
        <f t="shared" ref="I50:J50" si="5">+I27*I21</f>
        <v>4</v>
      </c>
      <c r="J50" s="21">
        <f t="shared" si="5"/>
        <v>4</v>
      </c>
      <c r="K50" s="39">
        <f t="shared" ref="K50:O50" si="6">+K27*K21</f>
        <v>0.5</v>
      </c>
      <c r="L50" s="39">
        <f t="shared" si="6"/>
        <v>0.25</v>
      </c>
      <c r="M50" s="39">
        <f t="shared" si="6"/>
        <v>0.70000000000000007</v>
      </c>
      <c r="N50" s="39">
        <f t="shared" si="6"/>
        <v>0.60000000000000009</v>
      </c>
      <c r="O50" s="39">
        <f t="shared" si="6"/>
        <v>6</v>
      </c>
    </row>
    <row r="51" spans="1:15" x14ac:dyDescent="0.25">
      <c r="G51" t="s">
        <v>93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20" sqref="A20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54</v>
      </c>
      <c r="B16">
        <v>11</v>
      </c>
    </row>
    <row r="17" spans="1:2" x14ac:dyDescent="0.25">
      <c r="A17" t="s">
        <v>77</v>
      </c>
      <c r="B17">
        <v>12</v>
      </c>
    </row>
    <row r="18" spans="1:2" x14ac:dyDescent="0.25">
      <c r="A18" t="s">
        <v>87</v>
      </c>
      <c r="B18">
        <v>13</v>
      </c>
    </row>
    <row r="19" spans="1:2" x14ac:dyDescent="0.25">
      <c r="A19" t="s">
        <v>91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70</v>
      </c>
      <c r="C1" t="s">
        <v>71</v>
      </c>
      <c r="E1" t="s">
        <v>70</v>
      </c>
      <c r="F1" t="s">
        <v>72</v>
      </c>
    </row>
    <row r="2" spans="1:7" x14ac:dyDescent="0.25">
      <c r="A2" t="s">
        <v>65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66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67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68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57</v>
      </c>
      <c r="E10" s="14" t="s">
        <v>69</v>
      </c>
      <c r="F10" s="5" t="s">
        <v>63</v>
      </c>
      <c r="G10" s="5" t="s">
        <v>64</v>
      </c>
    </row>
    <row r="11" spans="1:7" x14ac:dyDescent="0.25">
      <c r="B11">
        <v>0.4</v>
      </c>
      <c r="C11" s="13">
        <v>0.2</v>
      </c>
      <c r="E11">
        <f>+(B11-C11)*10</f>
        <v>2</v>
      </c>
    </row>
    <row r="12" spans="1:7" x14ac:dyDescent="0.25">
      <c r="B12">
        <v>0.01</v>
      </c>
      <c r="C12" s="13">
        <v>0.01</v>
      </c>
      <c r="E12">
        <f t="shared" ref="E12:E18" si="0">+(B12-C12)*10</f>
        <v>0</v>
      </c>
    </row>
    <row r="13" spans="1:7" x14ac:dyDescent="0.25">
      <c r="B13">
        <v>0.05</v>
      </c>
      <c r="C13" s="13">
        <v>0.09</v>
      </c>
      <c r="E13">
        <f t="shared" si="0"/>
        <v>-0.39999999999999991</v>
      </c>
    </row>
    <row r="14" spans="1:7" x14ac:dyDescent="0.25">
      <c r="B14">
        <v>0.06</v>
      </c>
      <c r="C14" s="13">
        <v>0.8</v>
      </c>
      <c r="E14">
        <f t="shared" si="0"/>
        <v>-7.4</v>
      </c>
    </row>
    <row r="15" spans="1:7" x14ac:dyDescent="0.25">
      <c r="B15">
        <v>1</v>
      </c>
      <c r="C15" s="13">
        <v>0.1</v>
      </c>
      <c r="E15">
        <f t="shared" si="0"/>
        <v>9</v>
      </c>
    </row>
    <row r="16" spans="1:7" x14ac:dyDescent="0.25">
      <c r="B16">
        <v>0.04</v>
      </c>
      <c r="C16" s="13">
        <v>0.2</v>
      </c>
      <c r="E16">
        <f t="shared" si="0"/>
        <v>-1.6</v>
      </c>
    </row>
    <row r="17" spans="2:5" x14ac:dyDescent="0.25">
      <c r="B17">
        <v>0.04</v>
      </c>
      <c r="C17" s="13">
        <v>0.4</v>
      </c>
      <c r="E17">
        <f t="shared" si="0"/>
        <v>-3.6000000000000005</v>
      </c>
    </row>
    <row r="18" spans="2:5" x14ac:dyDescent="0.25">
      <c r="B18">
        <v>0.04</v>
      </c>
      <c r="C18" s="13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2021-05-16T17:23:09Z</dcterms:modified>
</cp:coreProperties>
</file>