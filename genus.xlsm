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7C380129-DCB0-4E14-8707-9E8B2930D83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3" i="3" l="1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3" i="3"/>
  <c r="M54" i="3"/>
  <c r="L54" i="3"/>
  <c r="K54" i="3"/>
  <c r="J54" i="3"/>
  <c r="I54" i="3"/>
  <c r="H54" i="3"/>
  <c r="G54" i="3"/>
  <c r="F54" i="3"/>
  <c r="E54" i="3"/>
  <c r="D54" i="3"/>
  <c r="C54" i="3"/>
  <c r="B54" i="3"/>
  <c r="S54" i="3"/>
  <c r="R54" i="3"/>
  <c r="Q54" i="3"/>
  <c r="P54" i="3"/>
  <c r="O54" i="3"/>
  <c r="N54" i="3"/>
  <c r="S58" i="3"/>
  <c r="S57" i="3"/>
  <c r="S49" i="3"/>
  <c r="S52" i="3" s="1"/>
  <c r="S48" i="3"/>
  <c r="S10" i="3"/>
  <c r="S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K49" i="3"/>
  <c r="K48" i="3"/>
  <c r="K8" i="3"/>
  <c r="K10" i="3"/>
  <c r="J49" i="3"/>
  <c r="J52" i="3" s="1"/>
  <c r="J48" i="3"/>
  <c r="J8" i="3"/>
  <c r="J10" i="3"/>
  <c r="I49" i="3"/>
  <c r="I48" i="3"/>
  <c r="I8" i="3"/>
  <c r="I10" i="3"/>
  <c r="M49" i="3"/>
  <c r="L49" i="3"/>
  <c r="G49" i="3"/>
  <c r="G52" i="3" s="1"/>
  <c r="H49" i="3"/>
  <c r="H52" i="3" s="1"/>
  <c r="F49" i="3"/>
  <c r="F52" i="3" s="1"/>
  <c r="E49" i="3"/>
  <c r="D49" i="3"/>
  <c r="B49" i="3"/>
  <c r="C49" i="3"/>
  <c r="C52" i="3" s="1"/>
  <c r="R48" i="3"/>
  <c r="Q48" i="3"/>
  <c r="P48" i="3"/>
  <c r="O48" i="3"/>
  <c r="N48" i="3"/>
  <c r="M48" i="3"/>
  <c r="L48" i="3"/>
  <c r="G48" i="3"/>
  <c r="H48" i="3"/>
  <c r="F48" i="3"/>
  <c r="E48" i="3"/>
  <c r="D48" i="3"/>
  <c r="C48" i="3"/>
  <c r="B48" i="3"/>
  <c r="R49" i="3"/>
  <c r="R52" i="3" s="1"/>
  <c r="Q49" i="3"/>
  <c r="Q52" i="3" s="1"/>
  <c r="Q55" i="3" s="1"/>
  <c r="P49" i="3"/>
  <c r="P52" i="3" s="1"/>
  <c r="O49" i="3"/>
  <c r="O52" i="3" s="1"/>
  <c r="O55" i="3" s="1"/>
  <c r="N49" i="3"/>
  <c r="N52" i="3" s="1"/>
  <c r="Q8" i="3"/>
  <c r="Q10" i="3"/>
  <c r="B1" i="3"/>
  <c r="P8" i="3"/>
  <c r="P10" i="3"/>
  <c r="G8" i="3"/>
  <c r="G10" i="3"/>
  <c r="E18" i="5"/>
  <c r="E17" i="5"/>
  <c r="E16" i="5"/>
  <c r="E15" i="5"/>
  <c r="E14" i="5"/>
  <c r="E13" i="5"/>
  <c r="E12" i="5"/>
  <c r="E11" i="5"/>
  <c r="D8" i="3"/>
  <c r="D10" i="3"/>
  <c r="L8" i="3"/>
  <c r="L10" i="3"/>
  <c r="F8" i="3"/>
  <c r="F10" i="3"/>
  <c r="R8" i="3"/>
  <c r="R10" i="3"/>
  <c r="O8" i="3"/>
  <c r="O10" i="3"/>
  <c r="C8" i="3"/>
  <c r="N8" i="3"/>
  <c r="M8" i="3"/>
  <c r="H8" i="3"/>
  <c r="E8" i="3"/>
  <c r="B8" i="3"/>
  <c r="N10" i="3"/>
  <c r="M10" i="3"/>
  <c r="H10" i="3"/>
  <c r="E10" i="3"/>
  <c r="C10" i="3"/>
  <c r="B10" i="3"/>
  <c r="I55" i="3" l="1"/>
  <c r="P55" i="3"/>
  <c r="B55" i="3"/>
  <c r="L55" i="3"/>
  <c r="S55" i="3"/>
  <c r="K55" i="3"/>
  <c r="D55" i="3"/>
  <c r="E55" i="3"/>
  <c r="N55" i="3"/>
  <c r="M55" i="3"/>
  <c r="R55" i="3"/>
  <c r="F55" i="3"/>
  <c r="J55" i="3"/>
  <c r="K52" i="3"/>
  <c r="I52" i="3"/>
  <c r="H55" i="3"/>
  <c r="E52" i="3"/>
  <c r="L52" i="3"/>
  <c r="G55" i="3"/>
  <c r="C55" i="3"/>
  <c r="B52" i="3"/>
  <c r="D52" i="3"/>
  <c r="M5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7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2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<sst xmlns="http://schemas.openxmlformats.org/spreadsheetml/2006/main" count="155" uniqueCount="115">
  <si>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</si>
  <si>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</si>
  <si>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</si>
  <si>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</si>
  <si>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</si>
  <si>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</si>
  <si>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</si>
  <si>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</si>
  <si>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</si>
  <si>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</si>
  <si>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</si>
  <si>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</si>
  <si>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</si>
  <si>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</si>
  <si>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</si>
  <si>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</si>
  <si>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</si>
  <si>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</si>
  <si>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</si>
  <si>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</si>
  <si>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</si>
  <si>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</si>
  <si>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</si>
  <si>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</si>
  <si>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</si>
  <si>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</si>
  <si>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</si>
  <si>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</si>
  <si>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</si>
  <si>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</si>
  <si>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</si>
  <si>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</si>
  <si>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</si>
  <si>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</si>
  <si>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</si>
  <si>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</si>
  <si>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</si>
  <si>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</si>
  <si>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</si>
  <si>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</si>
  <si>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</si>
  <si>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</si>
  <si>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</si>
  <si>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</si>
  <si>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</si>
  <si>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</si>
  <si>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</si>
  <si>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</si>
  <si>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</si>
  <si>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</si>
  <si>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</si>
  <si>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</si>
  <si>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</si>
  <si>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</si>
  <si>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</si>
  <si>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</si>
  <si>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</si>
  <si>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</si>
  <si>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</si>
  <si>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</si>
  <si>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</si>
  <si>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</si>
  <si>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</si>
  <si>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</si>
  <si>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</si>
  <si>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</si>
  <si>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</si>
  <si>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</si>
  <si>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</si>
  <si>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</si>
  <si>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</si>
  <si>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</si>
  <si>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</si>
  <si>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</si>
  <si>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</si>
  <si>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</si>
  <si>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</si>
  <si>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</si>
  <si>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</si>
  <si>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</si>
  <si>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</si>
  <si>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</si>
  <si>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</si>
  <si>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</si>
  <si>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</si>
  <si>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</si>
  <si>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</si>
  <si>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</si>
  <si>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</si>
  <si>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</si>
  <si>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</si>
  <si>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</si>
  <si>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</si>
  <si>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</si>
  <si>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</si>
  <si>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</si>
  <si>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</si>
  <si>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</si>
  <si>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</si>
  <si>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</si>
  <si>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</si>
  <si>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</si>
  <si>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</si>
  <si>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</si>
  <si>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</si>
  <si>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</si>
  <si>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Metab max?</t>
  </si>
  <si>
    <t>SECONDARY_MEDIUM</t>
  </si>
  <si>
    <t>obj_secondary_medium</t>
  </si>
  <si>
    <t>VIEW_RANGE</t>
  </si>
  <si>
    <t>SPEED_EAT</t>
  </si>
  <si>
    <t>SPEED_ESCAPE</t>
  </si>
  <si>
    <t>metabolism_steps_per_month</t>
  </si>
  <si>
    <t>Catabolism adult (animals per step, plantes month)</t>
  </si>
  <si>
    <t>anabolism_input maximum / plant transpiration?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</si>
</sst>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5" totalsRowShown="0">
  <autoFilter ref="A4:B25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1:B34" totalsRowShown="0">
  <autoFilter ref="A31:B34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S58"/>
  <sheetViews>
    <sheetView tabSelected="1" zoomScaleNormal="100" workbookViewId="0">
      <pane xSplit="1" ySplit="7" topLeftCell="L39" activePane="bottomRight" state="frozen"/>
      <selection pane="topRight" activeCell="B1" sqref="B1"/>
      <selection pane="bottomLeft" activeCell="A8" sqref="A8"/>
      <selection pane="bottomRight" activeCell="M6" sqref="M6"/>
    </sheetView>
  </sheetViews>
  <sheetFormatPr baseColWidth="10" defaultRowHeight="15" x14ac:dyDescent="0.25"/>
  <cols>
    <col min="1" max="1" width="40.42578125" customWidth="1"/>
    <col min="2" max="2" width="15.140625" customWidth="1"/>
    <col min="16" max="17" width="11.5703125" customWidth="1"/>
  </cols>
  <sheetData>
    <row r="1" spans="1:19" x14ac:dyDescent="0.25">
      <c r="A1" t="s">
        <v>67</v>
      </c>
      <c r="B1" s="17">
        <f ca="1">NOW()</f>
        <v>44367.067384722221</v>
      </c>
      <c r="D1" s="30" t="s">
        <v>75</v>
      </c>
      <c r="G1" s="6" t="s">
        <v>103</v>
      </c>
      <c r="H1" s="6"/>
      <c r="I1" s="6"/>
      <c r="J1" s="6"/>
    </row>
    <row r="2" spans="1:19" x14ac:dyDescent="0.25">
      <c r="A2" s="6" t="s">
        <v>78</v>
      </c>
      <c r="B2" s="7">
        <v>180</v>
      </c>
      <c r="D2" t="s">
        <v>58</v>
      </c>
    </row>
    <row r="3" spans="1:19" x14ac:dyDescent="0.25">
      <c r="A3" t="s">
        <v>62</v>
      </c>
      <c r="B3" s="1">
        <v>0.1</v>
      </c>
      <c r="D3" s="16" t="s">
        <v>64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5" spans="1:19" x14ac:dyDescent="0.25">
      <c r="A5" t="s">
        <v>30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7" t="s">
        <v>9</v>
      </c>
      <c r="O5" s="27" t="s">
        <v>9</v>
      </c>
      <c r="P5" s="27" t="s">
        <v>9</v>
      </c>
      <c r="Q5" s="27" t="s">
        <v>9</v>
      </c>
      <c r="R5" s="28" t="s">
        <v>6</v>
      </c>
      <c r="S5" s="28" t="s">
        <v>6</v>
      </c>
    </row>
    <row r="6" spans="1:19" x14ac:dyDescent="0.2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ht="23.25" x14ac:dyDescent="0.25">
      <c r="A7" t="s">
        <v>60</v>
      </c>
      <c r="B7" s="10" t="s">
        <v>11</v>
      </c>
      <c r="C7" s="10" t="s">
        <v>35</v>
      </c>
      <c r="D7" s="10" t="s">
        <v>40</v>
      </c>
      <c r="E7" s="10" t="s">
        <v>76</v>
      </c>
      <c r="F7" s="10" t="s">
        <v>31</v>
      </c>
      <c r="G7" s="48" t="s">
        <v>61</v>
      </c>
      <c r="H7" s="10" t="s">
        <v>12</v>
      </c>
      <c r="I7" s="10" t="s">
        <v>13</v>
      </c>
      <c r="J7" s="10" t="s">
        <v>79</v>
      </c>
      <c r="K7" s="10" t="s">
        <v>82</v>
      </c>
      <c r="L7" s="10" t="s">
        <v>83</v>
      </c>
      <c r="M7" s="10" t="s">
        <v>39</v>
      </c>
      <c r="N7" s="10" t="s">
        <v>15</v>
      </c>
      <c r="O7" s="10" t="s">
        <v>14</v>
      </c>
      <c r="P7" s="10" t="s">
        <v>68</v>
      </c>
      <c r="Q7" s="10" t="s">
        <v>71</v>
      </c>
      <c r="R7" s="10" t="s">
        <v>3</v>
      </c>
      <c r="S7" s="10" t="s">
        <v>107</v>
      </c>
    </row>
    <row r="8" spans="1:19" x14ac:dyDescent="0.25">
      <c r="A8" s="43" t="s">
        <v>85</v>
      </c>
      <c r="B8" s="2">
        <f>VLOOKUP(B7,Tabla1[#All],2,FALSE)</f>
        <v>1</v>
      </c>
      <c r="C8" s="2">
        <f>VLOOKUP(C7,Tabla1[#All],2,FALSE)</f>
        <v>2</v>
      </c>
      <c r="D8" s="2">
        <f>VLOOKUP(D7,Tabla1[#All],2,FALSE)</f>
        <v>3</v>
      </c>
      <c r="E8" s="2">
        <f>VLOOKUP(E7,Tabla1[#All],2,FALSE)</f>
        <v>11</v>
      </c>
      <c r="F8" s="2">
        <f>VLOOKUP(F7,Tabla1[#All],2,FALSE)</f>
        <v>9</v>
      </c>
      <c r="G8" s="20">
        <f>VLOOKUP(G7,Tabla1[#All],2,FALSE)</f>
        <v>12</v>
      </c>
      <c r="H8" s="2">
        <f>VLOOKUP(H7,Tabla1[#All],2,FALSE)</f>
        <v>4</v>
      </c>
      <c r="I8" s="2">
        <f>VLOOKUP(I7,Tabla1[#All],2,FALSE)</f>
        <v>5</v>
      </c>
      <c r="J8" s="2">
        <f>VLOOKUP(J7,Tabla1[#All],2,FALSE)</f>
        <v>15</v>
      </c>
      <c r="K8" s="2">
        <f>VLOOKUP(K7,Tabla1[#All],2,FALSE)</f>
        <v>16</v>
      </c>
      <c r="L8" s="2">
        <f>VLOOKUP(L7,Tabla1[#All],2,FALSE)</f>
        <v>17</v>
      </c>
      <c r="M8" s="2">
        <f>VLOOKUP(M7,Tabla1[#All],2,FALSE)</f>
        <v>10</v>
      </c>
      <c r="N8" s="2">
        <f>VLOOKUP(N7,Tabla1[#All],2,FALSE)</f>
        <v>7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8</v>
      </c>
      <c r="S8" s="2">
        <f>VLOOKUP(S7,Tabla1[#All],2,FALSE)</f>
        <v>18</v>
      </c>
    </row>
    <row r="9" spans="1:19" ht="23.25" x14ac:dyDescent="0.25">
      <c r="A9" t="s">
        <v>84</v>
      </c>
      <c r="B9" s="10" t="s">
        <v>86</v>
      </c>
      <c r="C9" s="10" t="s">
        <v>87</v>
      </c>
      <c r="D9" s="10" t="s">
        <v>88</v>
      </c>
      <c r="E9" s="10" t="s">
        <v>89</v>
      </c>
      <c r="F9" s="10" t="s">
        <v>90</v>
      </c>
      <c r="G9" s="48" t="s">
        <v>91</v>
      </c>
      <c r="H9" s="10" t="s">
        <v>92</v>
      </c>
      <c r="I9" s="10" t="s">
        <v>93</v>
      </c>
      <c r="J9" s="10" t="s">
        <v>94</v>
      </c>
      <c r="K9" s="10" t="s">
        <v>95</v>
      </c>
      <c r="L9" s="10" t="s">
        <v>96</v>
      </c>
      <c r="M9" s="10" t="s">
        <v>97</v>
      </c>
      <c r="N9" s="10" t="s">
        <v>98</v>
      </c>
      <c r="O9" s="10" t="s">
        <v>99</v>
      </c>
      <c r="P9" s="10" t="s">
        <v>100</v>
      </c>
      <c r="Q9" s="10" t="s">
        <v>101</v>
      </c>
      <c r="R9" s="10" t="s">
        <v>102</v>
      </c>
      <c r="S9" s="10" t="s">
        <v>108</v>
      </c>
    </row>
    <row r="10" spans="1:19" x14ac:dyDescent="0.25">
      <c r="A10" s="43" t="s">
        <v>7</v>
      </c>
      <c r="B10" s="2">
        <f>VLOOKUP(B5,Tabla3[#All],2,FALSE)</f>
        <v>0</v>
      </c>
      <c r="C10" s="2">
        <f>VLOOKUP(C5,Tabla3[#All],2,FALSE)</f>
        <v>0</v>
      </c>
      <c r="D10" s="2">
        <f>VLOOKUP(D5,Tabla3[#All],2,FALSE)</f>
        <v>0</v>
      </c>
      <c r="E10" s="2">
        <f>VLOOKUP(E5,Tabla3[#All],2,FALSE)</f>
        <v>0</v>
      </c>
      <c r="F10" s="2">
        <f>VLOOKUP(F5,Tabla3[#All],2,FALSE)</f>
        <v>0</v>
      </c>
      <c r="G10" s="20">
        <f>VLOOKUP(G5,Tabla3[#All],2,FALSE)</f>
        <v>0</v>
      </c>
      <c r="H10" s="2">
        <f>VLOOKUP(H5,Tabla3[#All],2,FALSE)</f>
        <v>0</v>
      </c>
      <c r="I10" s="2">
        <f>VLOOKUP(I5,Tabla3[#All],2,FALSE)</f>
        <v>0</v>
      </c>
      <c r="J10" s="2">
        <f>VLOOKUP(J5,Tabla3[#All],2,FALSE)</f>
        <v>0</v>
      </c>
      <c r="K10" s="2">
        <f>VLOOKUP(K5,Tabla3[#All],2,FALSE)</f>
        <v>0</v>
      </c>
      <c r="L10" s="2">
        <f>VLOOKUP(L5,Tabla3[#All],2,FALSE)</f>
        <v>0</v>
      </c>
      <c r="M10" s="2">
        <f>VLOOKUP(M5,Tabla3[#All],2,FALSE)</f>
        <v>0</v>
      </c>
      <c r="N10" s="2">
        <f>VLOOKUP(N5,Tabla3[#All],2,FALSE)</f>
        <v>1</v>
      </c>
      <c r="O10" s="2">
        <f>VLOOKUP(O5,Tabla3[#All],2,FALSE)</f>
        <v>1</v>
      </c>
      <c r="P10" s="2">
        <f>VLOOKUP(P5,Tabla3[#All],2,FALSE)</f>
        <v>1</v>
      </c>
      <c r="Q10" s="2">
        <f>VLOOKUP(Q5,Tabla3[#All],2,FALSE)</f>
        <v>1</v>
      </c>
      <c r="R10" s="2">
        <f>VLOOKUP(R5,Tabla3[#All],2,FALSE)</f>
        <v>2</v>
      </c>
      <c r="S10" s="2">
        <f>VLOOKUP(S5,Tabla3[#All],2,FALSE)</f>
        <v>2</v>
      </c>
    </row>
    <row r="11" spans="1:19" x14ac:dyDescent="0.25">
      <c r="A11" s="44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25">
      <c r="A12" s="44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25">
      <c r="A13" s="44" t="s">
        <v>59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</row>
    <row r="14" spans="1:19" x14ac:dyDescent="0.25">
      <c r="A14" s="45" t="s">
        <v>27</v>
      </c>
      <c r="B14" s="1">
        <v>50</v>
      </c>
      <c r="C14" s="1">
        <v>175</v>
      </c>
      <c r="D14" s="1">
        <v>175</v>
      </c>
      <c r="E14" s="1">
        <v>25</v>
      </c>
      <c r="F14" s="1">
        <v>40</v>
      </c>
      <c r="G14" s="9">
        <v>350</v>
      </c>
      <c r="H14" s="1">
        <v>10</v>
      </c>
      <c r="I14" s="1">
        <v>10</v>
      </c>
      <c r="J14" s="1">
        <v>30</v>
      </c>
      <c r="K14" s="1">
        <v>10</v>
      </c>
      <c r="L14" s="1">
        <v>10</v>
      </c>
      <c r="M14" s="1">
        <v>5</v>
      </c>
      <c r="N14">
        <v>15</v>
      </c>
      <c r="O14">
        <v>5</v>
      </c>
      <c r="P14">
        <v>5</v>
      </c>
      <c r="Q14">
        <v>5</v>
      </c>
      <c r="R14">
        <v>40</v>
      </c>
      <c r="S14">
        <v>160</v>
      </c>
    </row>
    <row r="15" spans="1:19" x14ac:dyDescent="0.25">
      <c r="A15" s="46" t="s">
        <v>28</v>
      </c>
      <c r="B15" s="1">
        <v>1</v>
      </c>
      <c r="C15" s="1">
        <v>1.3</v>
      </c>
      <c r="D15" s="1">
        <v>1</v>
      </c>
      <c r="E15" s="1">
        <v>1</v>
      </c>
      <c r="F15" s="1">
        <v>1</v>
      </c>
      <c r="G15" s="9">
        <v>1</v>
      </c>
      <c r="H15" s="1">
        <v>1</v>
      </c>
      <c r="I15" s="1">
        <v>1</v>
      </c>
      <c r="J15" s="1">
        <v>1</v>
      </c>
      <c r="K15" s="1">
        <v>1</v>
      </c>
      <c r="L15" s="1">
        <v>1</v>
      </c>
      <c r="M15" s="1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</row>
    <row r="16" spans="1:19" x14ac:dyDescent="0.25">
      <c r="A16" s="46" t="s">
        <v>25</v>
      </c>
      <c r="B16" s="1">
        <v>1000</v>
      </c>
      <c r="C16" s="1">
        <v>0</v>
      </c>
      <c r="D16" s="1">
        <v>0</v>
      </c>
      <c r="E16" s="1">
        <v>800</v>
      </c>
      <c r="F16" s="1">
        <v>0</v>
      </c>
      <c r="G16" s="9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 s="47" t="s">
        <v>26</v>
      </c>
      <c r="B17" s="1">
        <v>1.2</v>
      </c>
      <c r="C17" s="1">
        <v>0</v>
      </c>
      <c r="D17" s="1">
        <v>0</v>
      </c>
      <c r="E17" s="1">
        <v>1.2</v>
      </c>
      <c r="F17" s="1">
        <v>0</v>
      </c>
      <c r="G17" s="9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 t="s">
        <v>17</v>
      </c>
      <c r="B18">
        <v>12</v>
      </c>
      <c r="C18">
        <v>10</v>
      </c>
      <c r="D18">
        <v>10</v>
      </c>
      <c r="E18">
        <v>10</v>
      </c>
      <c r="F18">
        <v>15</v>
      </c>
      <c r="G18" s="8">
        <v>3</v>
      </c>
      <c r="H18">
        <v>3</v>
      </c>
      <c r="I18">
        <v>3</v>
      </c>
      <c r="J18">
        <v>3</v>
      </c>
      <c r="K18">
        <v>3</v>
      </c>
      <c r="L18">
        <v>3</v>
      </c>
      <c r="M18">
        <v>3</v>
      </c>
      <c r="N18">
        <v>4</v>
      </c>
      <c r="O18">
        <v>3</v>
      </c>
      <c r="P18">
        <v>8</v>
      </c>
      <c r="Q18">
        <v>7</v>
      </c>
      <c r="R18">
        <v>7</v>
      </c>
      <c r="S18">
        <v>7</v>
      </c>
    </row>
    <row r="19" spans="1:19" x14ac:dyDescent="0.25">
      <c r="A19" s="21" t="s">
        <v>18</v>
      </c>
      <c r="B19">
        <v>1</v>
      </c>
      <c r="C19">
        <v>1</v>
      </c>
      <c r="D19">
        <v>1</v>
      </c>
      <c r="E19">
        <v>1</v>
      </c>
      <c r="F19">
        <v>1</v>
      </c>
      <c r="G19" s="8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0.3</v>
      </c>
      <c r="O19">
        <v>0.5</v>
      </c>
      <c r="P19">
        <v>0.3</v>
      </c>
      <c r="Q19">
        <v>0.3</v>
      </c>
      <c r="R19">
        <v>1</v>
      </c>
      <c r="S19">
        <v>1</v>
      </c>
    </row>
    <row r="20" spans="1:19" x14ac:dyDescent="0.25">
      <c r="A20" s="22" t="s">
        <v>19</v>
      </c>
      <c r="B20">
        <v>64</v>
      </c>
      <c r="C20">
        <v>100</v>
      </c>
      <c r="D20">
        <v>128</v>
      </c>
      <c r="E20">
        <v>180</v>
      </c>
      <c r="F20">
        <v>64</v>
      </c>
      <c r="G20" s="8">
        <v>110</v>
      </c>
      <c r="H20">
        <v>30</v>
      </c>
      <c r="I20">
        <v>40</v>
      </c>
      <c r="J20">
        <v>100</v>
      </c>
      <c r="K20">
        <v>60</v>
      </c>
      <c r="L20">
        <v>128</v>
      </c>
      <c r="M20">
        <v>64</v>
      </c>
      <c r="N20">
        <v>32</v>
      </c>
      <c r="O20">
        <v>32</v>
      </c>
      <c r="P20">
        <v>32</v>
      </c>
      <c r="Q20">
        <v>48</v>
      </c>
      <c r="R20">
        <v>1</v>
      </c>
      <c r="S20">
        <v>1</v>
      </c>
    </row>
    <row r="21" spans="1:19" x14ac:dyDescent="0.25">
      <c r="A21" s="23" t="s">
        <v>34</v>
      </c>
      <c r="B21">
        <v>1</v>
      </c>
      <c r="C21">
        <v>1</v>
      </c>
      <c r="D21">
        <v>1</v>
      </c>
      <c r="E21">
        <v>2</v>
      </c>
      <c r="F21">
        <v>1</v>
      </c>
      <c r="G21" s="8">
        <v>4</v>
      </c>
      <c r="H21">
        <v>2</v>
      </c>
      <c r="I21">
        <v>1</v>
      </c>
      <c r="J21">
        <v>5</v>
      </c>
      <c r="K21">
        <v>1</v>
      </c>
      <c r="L21">
        <v>1</v>
      </c>
      <c r="M21">
        <v>4</v>
      </c>
      <c r="N21">
        <v>2</v>
      </c>
      <c r="O21">
        <v>3</v>
      </c>
      <c r="P21" s="6">
        <v>5</v>
      </c>
      <c r="Q21">
        <v>2</v>
      </c>
      <c r="R21">
        <v>2</v>
      </c>
      <c r="S21">
        <v>1</v>
      </c>
    </row>
    <row r="22" spans="1:19" x14ac:dyDescent="0.25">
      <c r="A22" s="21" t="s">
        <v>65</v>
      </c>
      <c r="B22">
        <v>0</v>
      </c>
      <c r="C22">
        <v>0</v>
      </c>
      <c r="D22">
        <v>0</v>
      </c>
      <c r="E22">
        <v>0</v>
      </c>
      <c r="F22">
        <v>0</v>
      </c>
      <c r="G22" s="8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</v>
      </c>
      <c r="O22">
        <v>2</v>
      </c>
      <c r="P22">
        <v>2</v>
      </c>
      <c r="Q22">
        <v>2</v>
      </c>
      <c r="R22">
        <v>3</v>
      </c>
      <c r="S22">
        <v>3</v>
      </c>
    </row>
    <row r="23" spans="1:19" x14ac:dyDescent="0.25">
      <c r="A23" s="23" t="s">
        <v>66</v>
      </c>
      <c r="B23">
        <v>3</v>
      </c>
      <c r="C23">
        <v>3</v>
      </c>
      <c r="D23">
        <v>3</v>
      </c>
      <c r="E23">
        <v>3</v>
      </c>
      <c r="F23">
        <v>1</v>
      </c>
      <c r="G23" s="8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2</v>
      </c>
      <c r="O23">
        <v>2</v>
      </c>
      <c r="P23">
        <v>2</v>
      </c>
      <c r="Q23">
        <v>2</v>
      </c>
      <c r="R23">
        <v>3</v>
      </c>
      <c r="S23">
        <v>3</v>
      </c>
    </row>
    <row r="24" spans="1:19" x14ac:dyDescent="0.25">
      <c r="A24" s="22" t="s">
        <v>109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64</v>
      </c>
      <c r="O24">
        <v>64</v>
      </c>
      <c r="P24">
        <v>64</v>
      </c>
      <c r="Q24">
        <v>64</v>
      </c>
      <c r="R24">
        <v>128</v>
      </c>
      <c r="S24">
        <v>128</v>
      </c>
    </row>
    <row r="25" spans="1:19" x14ac:dyDescent="0.25">
      <c r="A25" s="22" t="s">
        <v>110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20</v>
      </c>
      <c r="O25">
        <v>20</v>
      </c>
      <c r="P25">
        <v>20</v>
      </c>
      <c r="Q25">
        <v>20</v>
      </c>
      <c r="R25">
        <v>40</v>
      </c>
      <c r="S25">
        <v>50</v>
      </c>
    </row>
    <row r="26" spans="1:19" x14ac:dyDescent="0.25">
      <c r="A26" s="22" t="s">
        <v>111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20</v>
      </c>
      <c r="O26">
        <v>20</v>
      </c>
      <c r="P26">
        <v>20</v>
      </c>
      <c r="Q26">
        <v>20</v>
      </c>
      <c r="R26">
        <v>50</v>
      </c>
      <c r="S26">
        <v>50</v>
      </c>
    </row>
    <row r="27" spans="1:19" x14ac:dyDescent="0.25">
      <c r="A27" s="23" t="s">
        <v>22</v>
      </c>
      <c r="B27">
        <v>400</v>
      </c>
      <c r="C27">
        <v>250</v>
      </c>
      <c r="D27">
        <v>200</v>
      </c>
      <c r="E27">
        <v>300</v>
      </c>
      <c r="F27">
        <v>8</v>
      </c>
      <c r="G27" s="8">
        <v>500</v>
      </c>
      <c r="H27">
        <v>6</v>
      </c>
      <c r="I27">
        <v>10</v>
      </c>
      <c r="J27">
        <v>20</v>
      </c>
      <c r="K27">
        <v>10</v>
      </c>
      <c r="L27">
        <v>10</v>
      </c>
      <c r="M27">
        <v>10</v>
      </c>
      <c r="N27">
        <v>12</v>
      </c>
      <c r="O27">
        <v>3</v>
      </c>
      <c r="P27">
        <v>5</v>
      </c>
      <c r="Q27">
        <v>6</v>
      </c>
      <c r="R27">
        <v>30</v>
      </c>
      <c r="S27">
        <v>250</v>
      </c>
    </row>
    <row r="28" spans="1:19" x14ac:dyDescent="0.25">
      <c r="A28" s="8" t="s">
        <v>77</v>
      </c>
      <c r="B28" s="8">
        <v>8</v>
      </c>
      <c r="C28" s="8">
        <v>20</v>
      </c>
      <c r="D28" s="8">
        <v>15</v>
      </c>
      <c r="E28" s="8">
        <v>10</v>
      </c>
      <c r="F28" s="8">
        <v>2</v>
      </c>
      <c r="G28" s="8">
        <v>2</v>
      </c>
      <c r="H28" s="8">
        <v>2</v>
      </c>
      <c r="I28" s="8">
        <v>2</v>
      </c>
      <c r="J28" s="8">
        <v>2</v>
      </c>
      <c r="K28" s="8">
        <v>2</v>
      </c>
      <c r="L28" s="8">
        <v>2</v>
      </c>
      <c r="M28" s="8">
        <v>2</v>
      </c>
      <c r="N28" s="8">
        <v>2</v>
      </c>
      <c r="O28" s="8">
        <v>2</v>
      </c>
      <c r="P28" s="8">
        <v>2</v>
      </c>
      <c r="Q28" s="8">
        <v>2</v>
      </c>
      <c r="R28" s="8">
        <v>2</v>
      </c>
      <c r="S28" s="8">
        <v>2</v>
      </c>
    </row>
    <row r="29" spans="1:19" x14ac:dyDescent="0.25">
      <c r="A29" s="21" t="s">
        <v>46</v>
      </c>
      <c r="B29">
        <v>0</v>
      </c>
      <c r="C29">
        <v>0</v>
      </c>
      <c r="D29">
        <v>0</v>
      </c>
      <c r="E29">
        <v>0</v>
      </c>
      <c r="F29">
        <v>0</v>
      </c>
      <c r="G29" s="8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0.3</v>
      </c>
      <c r="O29">
        <v>0.4</v>
      </c>
      <c r="P29">
        <v>0.4</v>
      </c>
      <c r="Q29">
        <v>0.3</v>
      </c>
      <c r="R29">
        <v>0.3</v>
      </c>
      <c r="S29">
        <v>0.15</v>
      </c>
    </row>
    <row r="30" spans="1:19" x14ac:dyDescent="0.25">
      <c r="A30" s="24" t="s">
        <v>20</v>
      </c>
      <c r="B30">
        <v>0.1</v>
      </c>
      <c r="C30">
        <v>0.1</v>
      </c>
      <c r="D30">
        <v>7.0000000000000007E-2</v>
      </c>
      <c r="E30">
        <v>0.03</v>
      </c>
      <c r="F30">
        <v>0.2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0.3</v>
      </c>
      <c r="O30">
        <v>0.2</v>
      </c>
      <c r="P30">
        <v>0.3</v>
      </c>
      <c r="Q30">
        <v>0.3</v>
      </c>
      <c r="R30">
        <v>0.3</v>
      </c>
      <c r="S30">
        <v>0.3</v>
      </c>
    </row>
    <row r="31" spans="1:19" x14ac:dyDescent="0.25">
      <c r="A31" s="22" t="s">
        <v>74</v>
      </c>
      <c r="B31">
        <v>0.6</v>
      </c>
      <c r="C31">
        <v>0.5</v>
      </c>
      <c r="D31">
        <v>0.5</v>
      </c>
      <c r="E31">
        <v>0.5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0.6</v>
      </c>
      <c r="N31">
        <v>0.6</v>
      </c>
      <c r="O31">
        <v>0.9</v>
      </c>
      <c r="P31">
        <v>0.5</v>
      </c>
      <c r="Q31">
        <v>0.5</v>
      </c>
      <c r="R31">
        <v>0.6</v>
      </c>
      <c r="S31">
        <v>0.8</v>
      </c>
    </row>
    <row r="32" spans="1:19" x14ac:dyDescent="0.25">
      <c r="A32" s="35" t="s">
        <v>47</v>
      </c>
      <c r="B32" s="31">
        <v>0.5</v>
      </c>
      <c r="C32" s="31">
        <v>1</v>
      </c>
      <c r="D32" s="31">
        <v>1</v>
      </c>
      <c r="E32" s="31">
        <v>1</v>
      </c>
      <c r="F32" s="31">
        <v>0.5</v>
      </c>
      <c r="G32" s="31">
        <v>1</v>
      </c>
      <c r="H32" s="31">
        <v>1.2</v>
      </c>
      <c r="I32" s="31">
        <v>1.5</v>
      </c>
      <c r="J32" s="31">
        <v>1.3</v>
      </c>
      <c r="K32" s="31">
        <v>1.3</v>
      </c>
      <c r="L32" s="31">
        <v>1.2</v>
      </c>
      <c r="M32" s="31">
        <v>1.5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 s="36" t="s">
        <v>69</v>
      </c>
      <c r="B33" s="31">
        <v>0.8</v>
      </c>
      <c r="C33" s="31">
        <v>0.9</v>
      </c>
      <c r="D33" s="31">
        <v>0.7</v>
      </c>
      <c r="E33" s="31">
        <v>0.4</v>
      </c>
      <c r="F33" s="32">
        <v>0.5</v>
      </c>
      <c r="G33" s="33">
        <v>0.15</v>
      </c>
      <c r="H33" s="31">
        <v>0.4</v>
      </c>
      <c r="I33" s="31">
        <v>0.04</v>
      </c>
      <c r="J33" s="31">
        <v>0.04</v>
      </c>
      <c r="K33" s="31">
        <v>0.04</v>
      </c>
      <c r="L33" s="31">
        <v>0.04</v>
      </c>
      <c r="M33" s="31">
        <v>0.04</v>
      </c>
      <c r="N33" s="34">
        <v>0.6</v>
      </c>
      <c r="O33" s="31">
        <v>0.7</v>
      </c>
      <c r="P33" s="31">
        <v>0.2</v>
      </c>
      <c r="Q33" s="31">
        <v>0.3</v>
      </c>
      <c r="R33" s="31">
        <v>0.4</v>
      </c>
      <c r="S33" s="31">
        <v>0.3</v>
      </c>
    </row>
    <row r="34" spans="1:19" x14ac:dyDescent="0.25">
      <c r="A34" s="37" t="s">
        <v>42</v>
      </c>
      <c r="B34" s="31">
        <v>0.4</v>
      </c>
      <c r="C34" s="31">
        <v>0.7</v>
      </c>
      <c r="D34" s="31">
        <v>0.5</v>
      </c>
      <c r="E34" s="31">
        <v>0.2</v>
      </c>
      <c r="F34" s="32">
        <v>0.5</v>
      </c>
      <c r="G34" s="33">
        <v>0.1</v>
      </c>
      <c r="H34" s="32">
        <v>0.3</v>
      </c>
      <c r="I34" s="31">
        <v>0.4</v>
      </c>
      <c r="J34" s="31">
        <v>0.5</v>
      </c>
      <c r="K34" s="31">
        <v>0.6</v>
      </c>
      <c r="L34" s="31">
        <v>0.5</v>
      </c>
      <c r="M34" s="31">
        <v>0.4</v>
      </c>
      <c r="N34" s="34">
        <v>0.05</v>
      </c>
      <c r="O34" s="31">
        <v>7.0000000000000007E-2</v>
      </c>
      <c r="P34" s="31">
        <v>0.05</v>
      </c>
      <c r="Q34" s="31">
        <v>0.06</v>
      </c>
      <c r="R34" s="31">
        <v>0.01</v>
      </c>
      <c r="S34" s="31">
        <v>0.02</v>
      </c>
    </row>
    <row r="35" spans="1:19" x14ac:dyDescent="0.25">
      <c r="A35" s="38" t="s">
        <v>23</v>
      </c>
      <c r="B35" s="1">
        <v>20</v>
      </c>
      <c r="C35" s="1">
        <v>24</v>
      </c>
      <c r="D35" s="1">
        <v>20</v>
      </c>
      <c r="E35" s="1">
        <v>27</v>
      </c>
      <c r="F35" s="1">
        <v>20</v>
      </c>
      <c r="G35" s="9">
        <v>20</v>
      </c>
      <c r="H35" s="1">
        <v>25</v>
      </c>
      <c r="I35" s="1">
        <v>20</v>
      </c>
      <c r="J35" s="1">
        <v>20</v>
      </c>
      <c r="K35" s="1">
        <v>20</v>
      </c>
      <c r="L35" s="1">
        <v>20</v>
      </c>
      <c r="M35" s="1">
        <v>-10</v>
      </c>
      <c r="N35" s="7">
        <v>0</v>
      </c>
      <c r="O35" s="7">
        <v>15</v>
      </c>
      <c r="P35" s="7">
        <v>15</v>
      </c>
      <c r="Q35" s="7">
        <v>15</v>
      </c>
      <c r="R35" s="7">
        <v>0</v>
      </c>
      <c r="S35" s="7">
        <v>0</v>
      </c>
    </row>
    <row r="36" spans="1:19" x14ac:dyDescent="0.25">
      <c r="A36" s="39" t="s">
        <v>33</v>
      </c>
      <c r="B36" s="1">
        <v>8</v>
      </c>
      <c r="C36" s="1">
        <v>3</v>
      </c>
      <c r="D36" s="9">
        <v>5</v>
      </c>
      <c r="E36" s="1">
        <v>5</v>
      </c>
      <c r="F36" s="1">
        <v>10</v>
      </c>
      <c r="G36" s="9">
        <v>10</v>
      </c>
      <c r="H36" s="1">
        <v>8</v>
      </c>
      <c r="I36" s="1">
        <v>5</v>
      </c>
      <c r="J36" s="1">
        <v>5</v>
      </c>
      <c r="K36" s="1">
        <v>5</v>
      </c>
      <c r="L36" s="1">
        <v>5</v>
      </c>
      <c r="M36" s="1">
        <v>20</v>
      </c>
      <c r="N36" s="7">
        <v>50</v>
      </c>
      <c r="O36" s="7">
        <v>15</v>
      </c>
      <c r="P36" s="7">
        <v>15</v>
      </c>
      <c r="Q36" s="7">
        <v>14</v>
      </c>
      <c r="R36" s="7">
        <v>50</v>
      </c>
      <c r="S36" s="7">
        <v>50</v>
      </c>
    </row>
    <row r="37" spans="1:19" x14ac:dyDescent="0.25">
      <c r="A37" s="40" t="s">
        <v>43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9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1:19" x14ac:dyDescent="0.25">
      <c r="A38" s="41" t="s">
        <v>44</v>
      </c>
      <c r="B38" s="9">
        <v>0.9</v>
      </c>
      <c r="C38" s="9">
        <v>0.9</v>
      </c>
      <c r="D38" s="9">
        <v>0.7</v>
      </c>
      <c r="E38" s="9">
        <v>0.7</v>
      </c>
      <c r="F38" s="9">
        <v>0.1</v>
      </c>
      <c r="G38" s="9">
        <v>0.7</v>
      </c>
      <c r="H38" s="9">
        <v>0.7</v>
      </c>
      <c r="I38" s="9">
        <v>0.7</v>
      </c>
      <c r="J38" s="9">
        <v>0.7</v>
      </c>
      <c r="K38" s="9">
        <v>0.7</v>
      </c>
      <c r="L38" s="9">
        <v>0.7</v>
      </c>
      <c r="M38" s="9">
        <v>0.9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1:19" x14ac:dyDescent="0.25">
      <c r="A39" s="42" t="s">
        <v>45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9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</row>
    <row r="40" spans="1:19" x14ac:dyDescent="0.25">
      <c r="A40" s="6" t="s">
        <v>29</v>
      </c>
      <c r="B40">
        <v>0</v>
      </c>
      <c r="C40">
        <v>0</v>
      </c>
      <c r="D40">
        <v>0</v>
      </c>
      <c r="E40">
        <v>0</v>
      </c>
      <c r="F40">
        <v>0</v>
      </c>
      <c r="G40" s="8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 s="25" t="s">
        <v>70</v>
      </c>
      <c r="B41" s="6">
        <v>3</v>
      </c>
      <c r="C41" s="6">
        <v>5</v>
      </c>
      <c r="D41" s="6">
        <v>5</v>
      </c>
      <c r="E41" s="6">
        <v>5</v>
      </c>
      <c r="F41" s="6">
        <v>4</v>
      </c>
      <c r="G41" s="6">
        <v>200</v>
      </c>
      <c r="H41" s="6">
        <v>4</v>
      </c>
      <c r="I41" s="6">
        <v>4</v>
      </c>
      <c r="J41" s="6">
        <v>4</v>
      </c>
      <c r="K41" s="6">
        <v>4</v>
      </c>
      <c r="L41" s="6">
        <v>4</v>
      </c>
      <c r="M41" s="6">
        <v>0.2</v>
      </c>
      <c r="N41" s="6">
        <v>2</v>
      </c>
      <c r="O41" s="6">
        <v>0.5</v>
      </c>
      <c r="P41" s="6">
        <v>0.2</v>
      </c>
      <c r="Q41" s="6">
        <v>0.2</v>
      </c>
      <c r="R41" s="6">
        <v>5</v>
      </c>
      <c r="S41" s="6">
        <v>5</v>
      </c>
    </row>
    <row r="42" spans="1:19" x14ac:dyDescent="0.25">
      <c r="A42" s="6"/>
    </row>
    <row r="43" spans="1:19" x14ac:dyDescent="0.25">
      <c r="A43" s="6"/>
      <c r="G43" s="6"/>
    </row>
    <row r="44" spans="1:19" x14ac:dyDescent="0.25">
      <c r="A44" s="6"/>
      <c r="G44" s="6"/>
    </row>
    <row r="45" spans="1:19" x14ac:dyDescent="0.25">
      <c r="A45" s="3" t="s">
        <v>1</v>
      </c>
      <c r="B45" s="4"/>
      <c r="C45" s="4"/>
      <c r="D45" s="4"/>
      <c r="E45" s="4"/>
      <c r="F45" s="4"/>
      <c r="G45" s="13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s="5" customFormat="1" ht="45" x14ac:dyDescent="0.25">
      <c r="A46" s="5" t="s">
        <v>36</v>
      </c>
      <c r="E46" s="14" t="s">
        <v>41</v>
      </c>
      <c r="F46" s="14" t="s">
        <v>37</v>
      </c>
      <c r="G46" s="14"/>
      <c r="H46" s="14"/>
      <c r="I46" s="14"/>
      <c r="J46" s="14"/>
      <c r="K46" s="14"/>
      <c r="L46" s="14"/>
      <c r="M46" s="14" t="s">
        <v>38</v>
      </c>
    </row>
    <row r="47" spans="1:19" x14ac:dyDescent="0.25">
      <c r="G47" s="6"/>
    </row>
    <row r="48" spans="1:19" x14ac:dyDescent="0.25">
      <c r="A48" t="s">
        <v>73</v>
      </c>
      <c r="B48" s="26" t="str">
        <f t="shared" ref="B48:S48" si="0">+B5</f>
        <v>PRODUCER</v>
      </c>
      <c r="C48" s="26" t="str">
        <f t="shared" si="0"/>
        <v>PRODUCER</v>
      </c>
      <c r="D48" s="26" t="str">
        <f t="shared" si="0"/>
        <v>PRODUCER</v>
      </c>
      <c r="E48" s="26" t="str">
        <f t="shared" si="0"/>
        <v>PRODUCER</v>
      </c>
      <c r="F48" s="26" t="str">
        <f t="shared" si="0"/>
        <v>PRODUCER</v>
      </c>
      <c r="G48" s="26" t="str">
        <f t="shared" si="0"/>
        <v>PRODUCER</v>
      </c>
      <c r="H48" s="26" t="str">
        <f t="shared" si="0"/>
        <v>PRODUCER</v>
      </c>
      <c r="I48" s="26" t="str">
        <f t="shared" si="0"/>
        <v>PRODUCER</v>
      </c>
      <c r="J48" s="26" t="str">
        <f t="shared" si="0"/>
        <v>PRODUCER</v>
      </c>
      <c r="K48" s="26" t="str">
        <f t="shared" si="0"/>
        <v>PRODUCER</v>
      </c>
      <c r="L48" s="26" t="str">
        <f t="shared" si="0"/>
        <v>PRODUCER</v>
      </c>
      <c r="M48" s="26" t="str">
        <f t="shared" si="0"/>
        <v>PRODUCER</v>
      </c>
      <c r="N48" s="27" t="str">
        <f t="shared" si="0"/>
        <v>PRIMARY</v>
      </c>
      <c r="O48" s="27" t="str">
        <f t="shared" si="0"/>
        <v>PRIMARY</v>
      </c>
      <c r="P48" s="27" t="str">
        <f t="shared" si="0"/>
        <v>PRIMARY</v>
      </c>
      <c r="Q48" s="27" t="str">
        <f t="shared" si="0"/>
        <v>PRIMARY</v>
      </c>
      <c r="R48" s="28" t="str">
        <f t="shared" si="0"/>
        <v>SECONDARY</v>
      </c>
      <c r="S48" s="28" t="str">
        <f t="shared" si="0"/>
        <v>SECONDARY</v>
      </c>
    </row>
    <row r="49" spans="1:19" x14ac:dyDescent="0.25">
      <c r="A49" t="s">
        <v>32</v>
      </c>
      <c r="B49" s="15">
        <f t="shared" ref="B49" si="1">+B34/B33/$B$2/$B$3</f>
        <v>2.7777777777777776E-2</v>
      </c>
      <c r="C49" s="15">
        <f>+C34/C33/$B$2/$B$3</f>
        <v>4.3209876543209867E-2</v>
      </c>
      <c r="D49" s="15">
        <f t="shared" ref="D49:M49" si="2">+D34/D33/$B$2/$B$3</f>
        <v>3.968253968253968E-2</v>
      </c>
      <c r="E49" s="15">
        <f t="shared" si="2"/>
        <v>2.7777777777777776E-2</v>
      </c>
      <c r="F49" s="15">
        <f t="shared" si="2"/>
        <v>5.5555555555555552E-2</v>
      </c>
      <c r="G49" s="15">
        <f t="shared" si="2"/>
        <v>3.7037037037037042E-2</v>
      </c>
      <c r="H49" s="15">
        <f>+H34/H33/$B$2/$B$3</f>
        <v>4.1666666666666657E-2</v>
      </c>
      <c r="I49" s="15">
        <f t="shared" ref="I49:K49" si="3">+I34/I33/$B$2/$B$3</f>
        <v>0.55555555555555547</v>
      </c>
      <c r="J49" s="15">
        <f t="shared" si="3"/>
        <v>0.69444444444444442</v>
      </c>
      <c r="K49" s="15">
        <f t="shared" si="3"/>
        <v>0.83333333333333326</v>
      </c>
      <c r="L49" s="15">
        <f t="shared" si="2"/>
        <v>0.69444444444444442</v>
      </c>
      <c r="M49" s="15">
        <f t="shared" si="2"/>
        <v>0.55555555555555547</v>
      </c>
      <c r="N49" s="29">
        <f t="shared" ref="N49:S49" si="4">+N29</f>
        <v>0.3</v>
      </c>
      <c r="O49" s="29">
        <f t="shared" si="4"/>
        <v>0.4</v>
      </c>
      <c r="P49" s="29">
        <f t="shared" si="4"/>
        <v>0.4</v>
      </c>
      <c r="Q49" s="29">
        <f t="shared" si="4"/>
        <v>0.3</v>
      </c>
      <c r="R49" s="29">
        <f t="shared" si="4"/>
        <v>0.3</v>
      </c>
      <c r="S49" s="29">
        <f t="shared" si="4"/>
        <v>0.15</v>
      </c>
    </row>
    <row r="50" spans="1:19" x14ac:dyDescent="0.25">
      <c r="G50" s="6"/>
    </row>
    <row r="51" spans="1:19" x14ac:dyDescent="0.25">
      <c r="A51" t="s">
        <v>112</v>
      </c>
      <c r="B51">
        <v>1</v>
      </c>
      <c r="C51">
        <v>1</v>
      </c>
      <c r="D51">
        <v>1</v>
      </c>
      <c r="E51">
        <v>1</v>
      </c>
      <c r="F51">
        <v>1</v>
      </c>
      <c r="G51" s="6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10</v>
      </c>
      <c r="O51">
        <v>10</v>
      </c>
      <c r="P51">
        <v>10</v>
      </c>
      <c r="Q51">
        <v>10</v>
      </c>
      <c r="R51">
        <v>10</v>
      </c>
      <c r="S51">
        <v>10</v>
      </c>
    </row>
    <row r="52" spans="1:19" x14ac:dyDescent="0.25">
      <c r="A52" t="s">
        <v>114</v>
      </c>
      <c r="B52" s="18">
        <f>+B49*B27*$B$3*$B$2*B32</f>
        <v>100</v>
      </c>
      <c r="C52" s="18">
        <f t="shared" ref="C52:M52" si="5">+C49*C27*$B$3*$B$2*C32</f>
        <v>194.4444444444444</v>
      </c>
      <c r="D52" s="18">
        <f t="shared" si="5"/>
        <v>142.85714285714286</v>
      </c>
      <c r="E52" s="18">
        <f t="shared" si="5"/>
        <v>150</v>
      </c>
      <c r="F52" s="18">
        <f t="shared" si="5"/>
        <v>4</v>
      </c>
      <c r="G52" s="18">
        <f t="shared" si="5"/>
        <v>333.33333333333343</v>
      </c>
      <c r="H52" s="18">
        <f>+H49*H27*$B$3*$B$2*H32</f>
        <v>5.3999999999999986</v>
      </c>
      <c r="I52" s="18">
        <f t="shared" ref="I52:K52" si="6">+I49*I27*$B$3*$B$2*I32</f>
        <v>149.99999999999997</v>
      </c>
      <c r="J52" s="18">
        <f t="shared" si="6"/>
        <v>325.00000000000006</v>
      </c>
      <c r="K52" s="18">
        <f t="shared" si="6"/>
        <v>195</v>
      </c>
      <c r="L52" s="18">
        <f t="shared" si="5"/>
        <v>150</v>
      </c>
      <c r="M52" s="18">
        <f t="shared" si="5"/>
        <v>149.99999999999997</v>
      </c>
      <c r="N52" s="49">
        <f t="shared" ref="N52:S52" si="7">+N49*N27</f>
        <v>3.5999999999999996</v>
      </c>
      <c r="O52" s="49">
        <f t="shared" si="7"/>
        <v>1.2000000000000002</v>
      </c>
      <c r="P52" s="49">
        <f t="shared" si="7"/>
        <v>2</v>
      </c>
      <c r="Q52" s="49">
        <f t="shared" si="7"/>
        <v>1.7999999999999998</v>
      </c>
      <c r="R52" s="49">
        <f t="shared" si="7"/>
        <v>9</v>
      </c>
      <c r="S52" s="49">
        <f t="shared" si="7"/>
        <v>37.5</v>
      </c>
    </row>
    <row r="53" spans="1:19" x14ac:dyDescent="0.25">
      <c r="A53" t="s">
        <v>63</v>
      </c>
      <c r="B53" s="50">
        <f t="shared" ref="B53:Q53" si="8">+B52*B33/B51</f>
        <v>80</v>
      </c>
      <c r="C53" s="50">
        <f t="shared" si="8"/>
        <v>174.99999999999997</v>
      </c>
      <c r="D53" s="50">
        <f t="shared" si="8"/>
        <v>100</v>
      </c>
      <c r="E53" s="50">
        <f t="shared" si="8"/>
        <v>60</v>
      </c>
      <c r="F53" s="50">
        <f t="shared" si="8"/>
        <v>2</v>
      </c>
      <c r="G53" s="50">
        <f t="shared" si="8"/>
        <v>50.000000000000014</v>
      </c>
      <c r="H53" s="50">
        <f t="shared" si="8"/>
        <v>2.1599999999999997</v>
      </c>
      <c r="I53" s="50">
        <f t="shared" si="8"/>
        <v>5.9999999999999991</v>
      </c>
      <c r="J53" s="50">
        <f t="shared" si="8"/>
        <v>13.000000000000002</v>
      </c>
      <c r="K53" s="50">
        <f t="shared" si="8"/>
        <v>7.8</v>
      </c>
      <c r="L53" s="50">
        <f t="shared" si="8"/>
        <v>6</v>
      </c>
      <c r="M53" s="50">
        <f t="shared" si="8"/>
        <v>5.9999999999999991</v>
      </c>
      <c r="N53" s="50">
        <f t="shared" si="8"/>
        <v>0.21599999999999997</v>
      </c>
      <c r="O53" s="50">
        <f t="shared" si="8"/>
        <v>8.4000000000000005E-2</v>
      </c>
      <c r="P53" s="50">
        <f t="shared" si="8"/>
        <v>0.04</v>
      </c>
      <c r="Q53" s="50">
        <f t="shared" si="8"/>
        <v>5.3999999999999992E-2</v>
      </c>
      <c r="R53" s="50">
        <f>+R52*R33/R51</f>
        <v>0.36</v>
      </c>
      <c r="S53" s="50">
        <f t="shared" ref="S53" si="9">+S52*S33/S51</f>
        <v>1.125</v>
      </c>
    </row>
    <row r="54" spans="1:19" x14ac:dyDescent="0.25">
      <c r="A54" t="s">
        <v>113</v>
      </c>
      <c r="B54" s="50">
        <f t="shared" ref="B54:M54" si="10">+B34*B27*(1-B29)/B51</f>
        <v>160</v>
      </c>
      <c r="C54" s="50">
        <f t="shared" si="10"/>
        <v>175</v>
      </c>
      <c r="D54" s="50">
        <f t="shared" si="10"/>
        <v>100</v>
      </c>
      <c r="E54" s="50">
        <f t="shared" si="10"/>
        <v>60</v>
      </c>
      <c r="F54" s="50">
        <f t="shared" si="10"/>
        <v>4</v>
      </c>
      <c r="G54" s="50">
        <f t="shared" si="10"/>
        <v>50</v>
      </c>
      <c r="H54" s="50">
        <f t="shared" si="10"/>
        <v>1.7999999999999998</v>
      </c>
      <c r="I54" s="50">
        <f t="shared" si="10"/>
        <v>4</v>
      </c>
      <c r="J54" s="50">
        <f t="shared" si="10"/>
        <v>10</v>
      </c>
      <c r="K54" s="50">
        <f t="shared" si="10"/>
        <v>6</v>
      </c>
      <c r="L54" s="50">
        <f t="shared" si="10"/>
        <v>5</v>
      </c>
      <c r="M54" s="50">
        <f t="shared" si="10"/>
        <v>4</v>
      </c>
      <c r="N54" s="50">
        <f>+N34*N27*(1-N29)/N51</f>
        <v>4.2000000000000003E-2</v>
      </c>
      <c r="O54" s="50">
        <f>+O34*O27*(1-O29)/O51</f>
        <v>1.26E-2</v>
      </c>
      <c r="P54" s="50">
        <f>+P34*P27*(1-P29)/P51</f>
        <v>1.4999999999999999E-2</v>
      </c>
      <c r="Q54" s="50">
        <f>+Q34*Q27*(1-Q29)/Q51</f>
        <v>2.52E-2</v>
      </c>
      <c r="R54" s="50">
        <f>+R34*R27*(1-R29)/R51</f>
        <v>2.0999999999999998E-2</v>
      </c>
      <c r="S54" s="50">
        <f>+S34*S27*(1-S29)/S51</f>
        <v>0.42499999999999999</v>
      </c>
    </row>
    <row r="55" spans="1:19" x14ac:dyDescent="0.25">
      <c r="A55" t="s">
        <v>106</v>
      </c>
      <c r="B55" s="50">
        <f>+B53-B54</f>
        <v>-80</v>
      </c>
      <c r="C55" s="50">
        <f t="shared" ref="C55:R55" si="11">+C53-C54</f>
        <v>0</v>
      </c>
      <c r="D55" s="50">
        <f t="shared" si="11"/>
        <v>0</v>
      </c>
      <c r="E55" s="50">
        <f t="shared" si="11"/>
        <v>0</v>
      </c>
      <c r="F55" s="50">
        <f t="shared" si="11"/>
        <v>-2</v>
      </c>
      <c r="G55" s="50">
        <f t="shared" si="11"/>
        <v>0</v>
      </c>
      <c r="H55" s="50">
        <f t="shared" si="11"/>
        <v>0.35999999999999988</v>
      </c>
      <c r="I55" s="50">
        <f t="shared" si="11"/>
        <v>1.9999999999999991</v>
      </c>
      <c r="J55" s="50">
        <f t="shared" si="11"/>
        <v>3.0000000000000018</v>
      </c>
      <c r="K55" s="50">
        <f t="shared" si="11"/>
        <v>1.7999999999999998</v>
      </c>
      <c r="L55" s="50">
        <f t="shared" si="11"/>
        <v>1</v>
      </c>
      <c r="M55" s="50">
        <f t="shared" si="11"/>
        <v>1.9999999999999991</v>
      </c>
      <c r="N55" s="50">
        <f t="shared" si="11"/>
        <v>0.17399999999999996</v>
      </c>
      <c r="O55" s="50">
        <f t="shared" si="11"/>
        <v>7.1400000000000005E-2</v>
      </c>
      <c r="P55" s="50">
        <f t="shared" si="11"/>
        <v>2.5000000000000001E-2</v>
      </c>
      <c r="Q55" s="50">
        <f t="shared" si="11"/>
        <v>2.8799999999999992E-2</v>
      </c>
      <c r="R55" s="50">
        <f t="shared" si="11"/>
        <v>0.33899999999999997</v>
      </c>
      <c r="S55" s="50">
        <f t="shared" ref="S55" si="12">+S53-S54</f>
        <v>0.7</v>
      </c>
    </row>
    <row r="56" spans="1:19" x14ac:dyDescent="0.25">
      <c r="H56" t="s">
        <v>72</v>
      </c>
    </row>
    <row r="57" spans="1:19" x14ac:dyDescent="0.25">
      <c r="A57" t="s">
        <v>104</v>
      </c>
      <c r="B57">
        <f>+B27*(1+B30)*1.1</f>
        <v>484.00000000000011</v>
      </c>
      <c r="C57">
        <f t="shared" ref="C57:R57" si="13">+C27*(1+C30)*1.1</f>
        <v>302.5</v>
      </c>
      <c r="D57">
        <f t="shared" si="13"/>
        <v>235.4</v>
      </c>
      <c r="E57">
        <f t="shared" si="13"/>
        <v>339.90000000000003</v>
      </c>
      <c r="F57">
        <f t="shared" si="13"/>
        <v>10.56</v>
      </c>
      <c r="G57">
        <f t="shared" si="13"/>
        <v>605</v>
      </c>
      <c r="H57">
        <f t="shared" si="13"/>
        <v>7.2600000000000016</v>
      </c>
      <c r="I57">
        <f t="shared" si="13"/>
        <v>12.100000000000001</v>
      </c>
      <c r="J57">
        <f t="shared" si="13"/>
        <v>24.200000000000003</v>
      </c>
      <c r="K57">
        <f t="shared" si="13"/>
        <v>12.100000000000001</v>
      </c>
      <c r="L57">
        <f t="shared" si="13"/>
        <v>12.100000000000001</v>
      </c>
      <c r="M57">
        <f t="shared" si="13"/>
        <v>12.100000000000001</v>
      </c>
      <c r="N57">
        <f t="shared" si="13"/>
        <v>17.160000000000004</v>
      </c>
      <c r="O57">
        <f t="shared" si="13"/>
        <v>3.96</v>
      </c>
      <c r="P57">
        <f t="shared" si="13"/>
        <v>7.15</v>
      </c>
      <c r="Q57">
        <f t="shared" si="13"/>
        <v>8.5800000000000018</v>
      </c>
      <c r="R57">
        <f t="shared" si="13"/>
        <v>42.900000000000006</v>
      </c>
      <c r="S57">
        <f t="shared" ref="S57" si="14">+S27*(1+S30)*1.1</f>
        <v>357.50000000000006</v>
      </c>
    </row>
    <row r="58" spans="1:19" x14ac:dyDescent="0.25">
      <c r="A58" t="s">
        <v>105</v>
      </c>
      <c r="B58">
        <f t="shared" ref="B58:S58" si="15">+B27*B30/B21</f>
        <v>40</v>
      </c>
      <c r="C58">
        <f t="shared" si="15"/>
        <v>25</v>
      </c>
      <c r="D58">
        <f t="shared" si="15"/>
        <v>14.000000000000002</v>
      </c>
      <c r="E58">
        <f t="shared" si="15"/>
        <v>4.5</v>
      </c>
      <c r="F58">
        <f t="shared" si="15"/>
        <v>1.6</v>
      </c>
      <c r="G58">
        <f t="shared" si="15"/>
        <v>12.5</v>
      </c>
      <c r="H58">
        <f t="shared" si="15"/>
        <v>0.30000000000000004</v>
      </c>
      <c r="I58">
        <f t="shared" si="15"/>
        <v>1</v>
      </c>
      <c r="J58">
        <f t="shared" si="15"/>
        <v>0.4</v>
      </c>
      <c r="K58">
        <f t="shared" si="15"/>
        <v>1</v>
      </c>
      <c r="L58">
        <f t="shared" si="15"/>
        <v>1</v>
      </c>
      <c r="M58">
        <f t="shared" si="15"/>
        <v>0.25</v>
      </c>
      <c r="N58">
        <f t="shared" si="15"/>
        <v>1.7999999999999998</v>
      </c>
      <c r="O58">
        <f t="shared" si="15"/>
        <v>0.20000000000000004</v>
      </c>
      <c r="P58">
        <f t="shared" si="15"/>
        <v>0.3</v>
      </c>
      <c r="Q58">
        <f t="shared" si="15"/>
        <v>0.89999999999999991</v>
      </c>
      <c r="R58">
        <f t="shared" si="15"/>
        <v>4.5</v>
      </c>
      <c r="S58">
        <f t="shared" si="15"/>
        <v>75</v>
      </c>
    </row>
  </sheetData>
  <conditionalFormatting sqref="O9 O7">
    <cfRule type="duplicateValues" dxfId="18" priority="43"/>
  </conditionalFormatting>
  <conditionalFormatting sqref="R9 R7">
    <cfRule type="duplicateValues" dxfId="17" priority="45"/>
  </conditionalFormatting>
  <conditionalFormatting sqref="F9 F7">
    <cfRule type="duplicateValues" dxfId="16" priority="47"/>
  </conditionalFormatting>
  <conditionalFormatting sqref="H9 H7 M9:N9 M7:N7 B9:C9 B7:C7 E9 E7">
    <cfRule type="duplicateValues" dxfId="15" priority="49"/>
  </conditionalFormatting>
  <conditionalFormatting sqref="L7">
    <cfRule type="duplicateValues" dxfId="14" priority="57"/>
  </conditionalFormatting>
  <conditionalFormatting sqref="D9 D7">
    <cfRule type="duplicateValues" dxfId="13" priority="59"/>
  </conditionalFormatting>
  <conditionalFormatting sqref="C9 C7">
    <cfRule type="duplicateValues" dxfId="12" priority="61"/>
  </conditionalFormatting>
  <conditionalFormatting sqref="G9 G7">
    <cfRule type="duplicateValues" dxfId="11" priority="63"/>
  </conditionalFormatting>
  <conditionalFormatting sqref="P9 P7">
    <cfRule type="duplicateValues" dxfId="10" priority="65"/>
  </conditionalFormatting>
  <conditionalFormatting sqref="Q9 Q7">
    <cfRule type="duplicateValues" dxfId="9" priority="67"/>
  </conditionalFormatting>
  <conditionalFormatting sqref="I9 I7">
    <cfRule type="duplicateValues" dxfId="8" priority="69"/>
  </conditionalFormatting>
  <conditionalFormatting sqref="M9:O9 M7:O7 E9:F9 E7:F7 H9 H7 B9:C9 B7:C7 R9 R7">
    <cfRule type="duplicateValues" dxfId="7" priority="71"/>
  </conditionalFormatting>
  <conditionalFormatting sqref="J7">
    <cfRule type="duplicateValues" dxfId="6" priority="81"/>
  </conditionalFormatting>
  <conditionalFormatting sqref="K7">
    <cfRule type="duplicateValues" dxfId="5" priority="83"/>
  </conditionalFormatting>
  <conditionalFormatting sqref="J9">
    <cfRule type="duplicateValues" dxfId="4" priority="5"/>
  </conditionalFormatting>
  <conditionalFormatting sqref="K9">
    <cfRule type="duplicateValues" dxfId="3" priority="4"/>
  </conditionalFormatting>
  <conditionalFormatting sqref="L9">
    <cfRule type="duplicateValues" dxfId="2" priority="3"/>
  </conditionalFormatting>
  <conditionalFormatting sqref="S9 S7">
    <cfRule type="duplicateValues" dxfId="1" priority="1"/>
  </conditionalFormatting>
  <conditionalFormatting sqref="S9 S7">
    <cfRule type="duplicateValues" dxfId="0" priority="2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Tables!$A$31:$A$34</xm:f>
          </x14:formula1>
          <xm:sqref>B5:S5</xm:sqref>
        </x14:dataValidation>
        <x14:dataValidation type="list" allowBlank="1" showInputMessage="1" showErrorMessage="1" xr:uid="{B3D47E63-4CCF-498A-86C2-6290C49D352E}">
          <x14:formula1>
            <xm:f>Tables!$A$4:$A$25</xm:f>
          </x14:formula1>
          <xm:sqref>B7:S7 B10:S10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4"/>
  <sheetViews>
    <sheetView workbookViewId="0">
      <selection activeCell="A24" sqref="A24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35</v>
      </c>
      <c r="B7">
        <v>2</v>
      </c>
    </row>
    <row r="8" spans="1:3" x14ac:dyDescent="0.25">
      <c r="A8" t="s">
        <v>40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31</v>
      </c>
      <c r="B14">
        <v>9</v>
      </c>
    </row>
    <row r="15" spans="1:3" x14ac:dyDescent="0.25">
      <c r="A15" t="s">
        <v>39</v>
      </c>
      <c r="B15">
        <v>10</v>
      </c>
    </row>
    <row r="16" spans="1:3" x14ac:dyDescent="0.25">
      <c r="A16" t="s">
        <v>76</v>
      </c>
      <c r="B16">
        <v>11</v>
      </c>
    </row>
    <row r="17" spans="1:2" x14ac:dyDescent="0.25">
      <c r="A17" t="s">
        <v>61</v>
      </c>
      <c r="B17">
        <v>12</v>
      </c>
    </row>
    <row r="18" spans="1:2" x14ac:dyDescent="0.25">
      <c r="A18" t="s">
        <v>68</v>
      </c>
      <c r="B18">
        <v>13</v>
      </c>
    </row>
    <row r="19" spans="1:2" x14ac:dyDescent="0.25">
      <c r="A19" t="s">
        <v>71</v>
      </c>
      <c r="B19">
        <v>14</v>
      </c>
    </row>
    <row r="20" spans="1:2" x14ac:dyDescent="0.25">
      <c r="A20" t="s">
        <v>79</v>
      </c>
      <c r="B20">
        <v>15</v>
      </c>
    </row>
    <row r="21" spans="1:2" x14ac:dyDescent="0.25">
      <c r="A21" t="s">
        <v>82</v>
      </c>
      <c r="B21">
        <v>16</v>
      </c>
    </row>
    <row r="22" spans="1:2" x14ac:dyDescent="0.25">
      <c r="A22" t="s">
        <v>83</v>
      </c>
      <c r="B22">
        <v>17</v>
      </c>
    </row>
    <row r="23" spans="1:2" x14ac:dyDescent="0.25">
      <c r="A23" t="s">
        <v>107</v>
      </c>
      <c r="B23">
        <v>18</v>
      </c>
    </row>
    <row r="24" spans="1:2" x14ac:dyDescent="0.25">
      <c r="A24" t="s">
        <v>81</v>
      </c>
    </row>
    <row r="25" spans="1:2" x14ac:dyDescent="0.25">
      <c r="A25" s="6" t="s">
        <v>80</v>
      </c>
      <c r="B25">
        <v>99</v>
      </c>
    </row>
    <row r="31" spans="1:2" x14ac:dyDescent="0.25">
      <c r="A31" t="s">
        <v>7</v>
      </c>
      <c r="B31" t="s">
        <v>5</v>
      </c>
    </row>
    <row r="32" spans="1:2" x14ac:dyDescent="0.25">
      <c r="A32" t="s">
        <v>8</v>
      </c>
      <c r="B32">
        <v>0</v>
      </c>
    </row>
    <row r="33" spans="1:2" x14ac:dyDescent="0.25">
      <c r="A33" t="s">
        <v>9</v>
      </c>
      <c r="B33">
        <v>1</v>
      </c>
    </row>
    <row r="34" spans="1:2" x14ac:dyDescent="0.25">
      <c r="A34" t="s">
        <v>6</v>
      </c>
      <c r="B34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55</v>
      </c>
      <c r="C1" t="s">
        <v>56</v>
      </c>
      <c r="E1" t="s">
        <v>55</v>
      </c>
      <c r="F1" t="s">
        <v>57</v>
      </c>
    </row>
    <row r="2" spans="1:7" x14ac:dyDescent="0.25">
      <c r="A2" t="s">
        <v>50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51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52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53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42</v>
      </c>
      <c r="E10" s="12" t="s">
        <v>54</v>
      </c>
      <c r="F10" s="5" t="s">
        <v>48</v>
      </c>
      <c r="G10" s="5" t="s">
        <v>49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2021-06-19T23:37:14Z</dcterms:modified>
</cp:coreProperties>
</file>