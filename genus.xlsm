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d641367ab90122e/_tec/codi/GM/Terraformer2D/"/>
    </mc:Choice>
  </mc:AlternateContent>
  <xr:revisionPtr revIDLastSave="0" documentId="8_{5FDABF08-85D5-4A7B-8BBA-A9A1D962DE9B}" xr6:coauthVersionLast="47" xr6:coauthVersionMax="47" xr10:uidLastSave="{00000000-0000-0000-0000-000000000000}"/>
  <bookViews>
    <workbookView xWindow="0" yWindow="870" windowWidth="28605" windowHeight="17715" xr2:uid="{00000000-000D-0000-FFFF-FFFF00000000}"/>
  </bookViews>
  <sheets>
    <sheet name="genus" sheetId="3" r:id="rId1"/>
    <sheet name="Tables" sheetId="4" r:id="rId2"/>
    <sheet name="Sprite_image_simulator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67" i="3" l="1"/>
  <c r="V67" i="3"/>
  <c r="U67" i="3"/>
  <c r="T67" i="3"/>
  <c r="S67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I64" i="3"/>
  <c r="I63" i="3"/>
  <c r="I58" i="3"/>
  <c r="I59" i="3" s="1"/>
  <c r="I48" i="3"/>
  <c r="I53" i="3" s="1"/>
  <c r="I57" i="3" s="1"/>
  <c r="I47" i="3"/>
  <c r="U64" i="3"/>
  <c r="U63" i="3"/>
  <c r="U58" i="3"/>
  <c r="U59" i="3" s="1"/>
  <c r="U53" i="3"/>
  <c r="U57" i="3" s="1"/>
  <c r="U48" i="3"/>
  <c r="U51" i="3" s="1"/>
  <c r="U52" i="3" s="1"/>
  <c r="U47" i="3"/>
  <c r="U9" i="3"/>
  <c r="U8" i="3"/>
  <c r="D53" i="4"/>
  <c r="D52" i="4"/>
  <c r="D51" i="4"/>
  <c r="D50" i="4"/>
  <c r="D49" i="4"/>
  <c r="D48" i="4"/>
  <c r="D47" i="4"/>
  <c r="D46" i="4"/>
  <c r="D45" i="4"/>
  <c r="W64" i="3"/>
  <c r="W63" i="3"/>
  <c r="W58" i="3"/>
  <c r="W59" i="3" s="1"/>
  <c r="W53" i="3"/>
  <c r="W57" i="3" s="1"/>
  <c r="W48" i="3"/>
  <c r="W51" i="3" s="1"/>
  <c r="W52" i="3" s="1"/>
  <c r="W47" i="3"/>
  <c r="W9" i="3"/>
  <c r="W8" i="3"/>
  <c r="S64" i="3"/>
  <c r="S63" i="3"/>
  <c r="S58" i="3"/>
  <c r="S59" i="3" s="1"/>
  <c r="S53" i="3"/>
  <c r="S57" i="3" s="1"/>
  <c r="S48" i="3"/>
  <c r="S51" i="3" s="1"/>
  <c r="S52" i="3" s="1"/>
  <c r="S47" i="3"/>
  <c r="S9" i="3"/>
  <c r="S8" i="3"/>
  <c r="C64" i="3"/>
  <c r="C63" i="3"/>
  <c r="C58" i="3"/>
  <c r="C59" i="3" s="1"/>
  <c r="C48" i="3"/>
  <c r="C53" i="3" s="1"/>
  <c r="C57" i="3" s="1"/>
  <c r="C47" i="3"/>
  <c r="C9" i="3"/>
  <c r="C8" i="3"/>
  <c r="P9" i="3"/>
  <c r="V58" i="3"/>
  <c r="Q58" i="3"/>
  <c r="Q59" i="3" s="1"/>
  <c r="P58" i="3"/>
  <c r="P59" i="3" s="1"/>
  <c r="O58" i="3"/>
  <c r="R58" i="3"/>
  <c r="R59" i="3" s="1"/>
  <c r="N58" i="3"/>
  <c r="N59" i="3" s="1"/>
  <c r="L58" i="3"/>
  <c r="K58" i="3"/>
  <c r="K59" i="3" s="1"/>
  <c r="J58" i="3"/>
  <c r="J59" i="3" s="1"/>
  <c r="H58" i="3"/>
  <c r="H59" i="3" s="1"/>
  <c r="G58" i="3"/>
  <c r="G59" i="3" s="1"/>
  <c r="M58" i="3"/>
  <c r="F58" i="3"/>
  <c r="F59" i="3" s="1"/>
  <c r="E58" i="3"/>
  <c r="E59" i="3" s="1"/>
  <c r="D58" i="3"/>
  <c r="D59" i="3" s="1"/>
  <c r="B58" i="3"/>
  <c r="B59" i="3" s="1"/>
  <c r="T58" i="3"/>
  <c r="T59" i="3" s="1"/>
  <c r="V53" i="3"/>
  <c r="V57" i="3" s="1"/>
  <c r="T53" i="3"/>
  <c r="T57" i="3" s="1"/>
  <c r="Q53" i="3"/>
  <c r="Q57" i="3" s="1"/>
  <c r="P53" i="3"/>
  <c r="P57" i="3" s="1"/>
  <c r="O53" i="3"/>
  <c r="O57" i="3" s="1"/>
  <c r="R53" i="3"/>
  <c r="R57" i="3" s="1"/>
  <c r="V64" i="3"/>
  <c r="V63" i="3"/>
  <c r="V48" i="3"/>
  <c r="V51" i="3" s="1"/>
  <c r="V52" i="3" s="1"/>
  <c r="V47" i="3"/>
  <c r="V9" i="3"/>
  <c r="V8" i="3"/>
  <c r="T64" i="3"/>
  <c r="Q64" i="3"/>
  <c r="P64" i="3"/>
  <c r="O64" i="3"/>
  <c r="R64" i="3"/>
  <c r="N64" i="3"/>
  <c r="L64" i="3"/>
  <c r="K64" i="3"/>
  <c r="J64" i="3"/>
  <c r="H64" i="3"/>
  <c r="G64" i="3"/>
  <c r="M64" i="3"/>
  <c r="F64" i="3"/>
  <c r="E64" i="3"/>
  <c r="D64" i="3"/>
  <c r="B64" i="3"/>
  <c r="T63" i="3"/>
  <c r="Q63" i="3"/>
  <c r="P63" i="3"/>
  <c r="O63" i="3"/>
  <c r="R63" i="3"/>
  <c r="N63" i="3"/>
  <c r="L63" i="3"/>
  <c r="K63" i="3"/>
  <c r="J63" i="3"/>
  <c r="H63" i="3"/>
  <c r="G63" i="3"/>
  <c r="M63" i="3"/>
  <c r="F63" i="3"/>
  <c r="E63" i="3"/>
  <c r="D63" i="3"/>
  <c r="B63" i="3"/>
  <c r="K48" i="3"/>
  <c r="K53" i="3" s="1"/>
  <c r="K57" i="3" s="1"/>
  <c r="K47" i="3"/>
  <c r="K8" i="3"/>
  <c r="K9" i="3"/>
  <c r="J48" i="3"/>
  <c r="J51" i="3" s="1"/>
  <c r="J52" i="3" s="1"/>
  <c r="J47" i="3"/>
  <c r="J8" i="3"/>
  <c r="J9" i="3"/>
  <c r="I8" i="3"/>
  <c r="I9" i="3"/>
  <c r="N48" i="3"/>
  <c r="N53" i="3" s="1"/>
  <c r="L48" i="3"/>
  <c r="L53" i="3" s="1"/>
  <c r="L57" i="3" s="1"/>
  <c r="G48" i="3"/>
  <c r="G51" i="3" s="1"/>
  <c r="G52" i="3" s="1"/>
  <c r="H48" i="3"/>
  <c r="H51" i="3" s="1"/>
  <c r="H52" i="3" s="1"/>
  <c r="M48" i="3"/>
  <c r="M51" i="3" s="1"/>
  <c r="M52" i="3" s="1"/>
  <c r="F48" i="3"/>
  <c r="F53" i="3" s="1"/>
  <c r="F57" i="3" s="1"/>
  <c r="E48" i="3"/>
  <c r="E53" i="3" s="1"/>
  <c r="E57" i="3" s="1"/>
  <c r="B48" i="3"/>
  <c r="B53" i="3" s="1"/>
  <c r="B57" i="3" s="1"/>
  <c r="D48" i="3"/>
  <c r="D51" i="3" s="1"/>
  <c r="D52" i="3" s="1"/>
  <c r="T47" i="3"/>
  <c r="Q47" i="3"/>
  <c r="P47" i="3"/>
  <c r="O47" i="3"/>
  <c r="R47" i="3"/>
  <c r="N47" i="3"/>
  <c r="L47" i="3"/>
  <c r="G47" i="3"/>
  <c r="H47" i="3"/>
  <c r="M47" i="3"/>
  <c r="F47" i="3"/>
  <c r="E47" i="3"/>
  <c r="D47" i="3"/>
  <c r="B47" i="3"/>
  <c r="T48" i="3"/>
  <c r="T51" i="3" s="1"/>
  <c r="T52" i="3" s="1"/>
  <c r="Q48" i="3"/>
  <c r="Q51" i="3" s="1"/>
  <c r="Q52" i="3" s="1"/>
  <c r="P48" i="3"/>
  <c r="P51" i="3" s="1"/>
  <c r="P52" i="3" s="1"/>
  <c r="O48" i="3"/>
  <c r="O51" i="3" s="1"/>
  <c r="O52" i="3" s="1"/>
  <c r="R48" i="3"/>
  <c r="R51" i="3" s="1"/>
  <c r="R52" i="3" s="1"/>
  <c r="Q8" i="3"/>
  <c r="Q9" i="3"/>
  <c r="B1" i="3"/>
  <c r="P8" i="3"/>
  <c r="G8" i="3"/>
  <c r="G9" i="3"/>
  <c r="E18" i="5"/>
  <c r="E17" i="5"/>
  <c r="E16" i="5"/>
  <c r="E15" i="5"/>
  <c r="E14" i="5"/>
  <c r="E13" i="5"/>
  <c r="E12" i="5"/>
  <c r="E11" i="5"/>
  <c r="E8" i="3"/>
  <c r="E9" i="3"/>
  <c r="L8" i="3"/>
  <c r="L9" i="3"/>
  <c r="M8" i="3"/>
  <c r="M9" i="3"/>
  <c r="T8" i="3"/>
  <c r="T9" i="3"/>
  <c r="O8" i="3"/>
  <c r="O9" i="3"/>
  <c r="D8" i="3"/>
  <c r="R8" i="3"/>
  <c r="N8" i="3"/>
  <c r="H8" i="3"/>
  <c r="F8" i="3"/>
  <c r="B8" i="3"/>
  <c r="R9" i="3"/>
  <c r="N9" i="3"/>
  <c r="H9" i="3"/>
  <c r="F9" i="3"/>
  <c r="D9" i="3"/>
  <c r="B9" i="3"/>
  <c r="S54" i="3" l="1"/>
  <c r="S56" i="3" s="1"/>
  <c r="I51" i="3"/>
  <c r="I52" i="3" s="1"/>
  <c r="I54" i="3" s="1"/>
  <c r="I56" i="3" s="1"/>
  <c r="U54" i="3"/>
  <c r="U56" i="3" s="1"/>
  <c r="W54" i="3"/>
  <c r="W56" i="3" s="1"/>
  <c r="C51" i="3"/>
  <c r="C52" i="3" s="1"/>
  <c r="C54" i="3" s="1"/>
  <c r="C56" i="3" s="1"/>
  <c r="G53" i="3"/>
  <c r="G57" i="3" s="1"/>
  <c r="H53" i="3"/>
  <c r="H57" i="3" s="1"/>
  <c r="D53" i="3"/>
  <c r="D57" i="3" s="1"/>
  <c r="J53" i="3"/>
  <c r="J57" i="3" s="1"/>
  <c r="M53" i="3"/>
  <c r="M57" i="3" s="1"/>
  <c r="N57" i="3"/>
  <c r="O59" i="3"/>
  <c r="M59" i="3"/>
  <c r="L59" i="3"/>
  <c r="V59" i="3"/>
  <c r="O54" i="3"/>
  <c r="O56" i="3" s="1"/>
  <c r="Q54" i="3"/>
  <c r="Q56" i="3" s="1"/>
  <c r="P54" i="3"/>
  <c r="P56" i="3" s="1"/>
  <c r="V54" i="3"/>
  <c r="V56" i="3" s="1"/>
  <c r="R54" i="3"/>
  <c r="R56" i="3" s="1"/>
  <c r="T54" i="3"/>
  <c r="T56" i="3" s="1"/>
  <c r="K51" i="3"/>
  <c r="K52" i="3" s="1"/>
  <c r="F51" i="3"/>
  <c r="F52" i="3" s="1"/>
  <c r="L51" i="3"/>
  <c r="L52" i="3" s="1"/>
  <c r="B51" i="3"/>
  <c r="B52" i="3" s="1"/>
  <c r="B54" i="3" s="1"/>
  <c r="E51" i="3"/>
  <c r="E52" i="3" s="1"/>
  <c r="E54" i="3" s="1"/>
  <c r="E56" i="3" s="1"/>
  <c r="N51" i="3"/>
  <c r="N52" i="3" s="1"/>
  <c r="S60" i="3" l="1"/>
  <c r="I60" i="3"/>
  <c r="U60" i="3"/>
  <c r="W60" i="3"/>
  <c r="D54" i="3"/>
  <c r="D56" i="3" s="1"/>
  <c r="C60" i="3"/>
  <c r="J54" i="3"/>
  <c r="J56" i="3" s="1"/>
  <c r="P60" i="3"/>
  <c r="K54" i="3"/>
  <c r="K60" i="3" s="1"/>
  <c r="L54" i="3"/>
  <c r="L60" i="3" s="1"/>
  <c r="F54" i="3"/>
  <c r="F60" i="3" s="1"/>
  <c r="Q60" i="3"/>
  <c r="M54" i="3"/>
  <c r="M56" i="3" s="1"/>
  <c r="G54" i="3"/>
  <c r="G56" i="3" s="1"/>
  <c r="N54" i="3"/>
  <c r="N60" i="3" s="1"/>
  <c r="H54" i="3"/>
  <c r="H56" i="3" s="1"/>
  <c r="T60" i="3"/>
  <c r="B56" i="3"/>
  <c r="B60" i="3"/>
  <c r="E60" i="3"/>
  <c r="V60" i="3"/>
  <c r="R60" i="3"/>
  <c r="O60" i="3"/>
  <c r="D60" i="3"/>
  <c r="M60" i="3" l="1"/>
  <c r="J60" i="3"/>
  <c r="G60" i="3"/>
  <c r="F56" i="3"/>
  <c r="L56" i="3"/>
  <c r="N56" i="3"/>
  <c r="H60" i="3"/>
  <c r="K56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 Dalmau</author>
  </authors>
  <commentList>
    <comment ref="A33" authorId="0" shapeId="0" xr:uid="{DF3650A6-B6C2-45A8-9464-2BF746300551}">
      <text>
        <r>
          <rPr>
            <b/>
            <sz val="9"/>
            <color indexed="81"/>
            <rFont val="Tahoma"/>
            <charset val="1"/>
          </rPr>
          <t>Ricard Dalmau:</t>
        </r>
        <r>
          <rPr>
            <sz val="9"/>
            <color indexed="81"/>
            <rFont val="Tahoma"/>
            <charset val="1"/>
          </rPr>
          <t xml:space="preserve">
Aprox 10% mass goes up into next thropic level</t>
        </r>
      </text>
    </comment>
    <comment ref="A40" authorId="0" shapeId="0" xr:uid="{AC5AF4F0-BD59-4DF7-A2B9-16AAD27ECE38}">
      <text>
        <r>
          <rPr>
            <b/>
            <sz val="9"/>
            <color indexed="81"/>
            <rFont val="Tahoma"/>
            <family val="2"/>
          </rPr>
          <t>Ricard Dalmau:</t>
        </r>
        <r>
          <rPr>
            <sz val="9"/>
            <color indexed="81"/>
            <rFont val="Tahoma"/>
            <family val="2"/>
          </rPr>
          <t xml:space="preserve">
BIOMASS_REPRODUCTION ja no cal </t>
        </r>
      </text>
    </comment>
  </commentList>
</comments>
</file>

<file path=xl/sharedStrings.xml><?xml version="1.0" encoding="utf-8"?>
<sst xmlns="http://schemas.openxmlformats.org/spreadsheetml/2006/main" count="221" uniqueCount="148">
  <si>
    <t>GEN_START</t>
  </si>
  <si>
    <t>GEN_END</t>
  </si>
  <si>
    <t>// parent specie for initial species</t>
  </si>
  <si>
    <t>SPECIE</t>
  </si>
  <si>
    <t>Columna1</t>
  </si>
  <si>
    <t>SECONDARY</t>
  </si>
  <si>
    <t>TROPHIC_LEVEL</t>
  </si>
  <si>
    <t>PRODUCER</t>
  </si>
  <si>
    <t>PRIMARY</t>
  </si>
  <si>
    <t>NOPARENT</t>
  </si>
  <si>
    <t>PARENT_SPECIE_CODE</t>
  </si>
  <si>
    <t>AGE_DEAD</t>
  </si>
  <si>
    <t>REPRODUCTION_INTERVAL</t>
  </si>
  <si>
    <t>ALLOCATION_REPRODUCTIVE</t>
  </si>
  <si>
    <t>SPECIE_CODE</t>
  </si>
  <si>
    <t>BIOMASS_ADULT</t>
  </si>
  <si>
    <t>TEMPERATURE_OPTIMAL</t>
  </si>
  <si>
    <t>ANABOLISM_BIOMASS_PER_WATER_L</t>
  </si>
  <si>
    <t>T.Level</t>
  </si>
  <si>
    <t>LMFa</t>
  </si>
  <si>
    <t>TEMPERATURE_RANGE</t>
  </si>
  <si>
    <t>REPRODUCTION_QUANTITY</t>
  </si>
  <si>
    <t>Comments</t>
  </si>
  <si>
    <t>KC_METABOLIC_RATE</t>
  </si>
  <si>
    <t>DORMANCY_CATABOLISM_REDUCTION</t>
  </si>
  <si>
    <t>ALLOCATION_DIGESTIVE_ANIMALS</t>
  </si>
  <si>
    <t>EVOTRANSPIRATION_FACTOR</t>
  </si>
  <si>
    <t>X</t>
  </si>
  <si>
    <t>Y</t>
  </si>
  <si>
    <t>segment 1</t>
  </si>
  <si>
    <t>segment 2</t>
  </si>
  <si>
    <t>segment 3</t>
  </si>
  <si>
    <t>segment 4</t>
  </si>
  <si>
    <t>formula_x</t>
  </si>
  <si>
    <t>x_threshold</t>
  </si>
  <si>
    <t>x_value</t>
  </si>
  <si>
    <t>y_value</t>
  </si>
  <si>
    <t>All gen value must be numeric - no empty cells</t>
  </si>
  <si>
    <t>GENUS_NAME</t>
  </si>
  <si>
    <t>LEAF_M2_PER_KG</t>
  </si>
  <si>
    <t>Anabolism adult wanted</t>
  </si>
  <si>
    <t>Per baixar aigua consumida cal baixar KC vigilant que LMFa quedi &gt; 0,01</t>
  </si>
  <si>
    <t>COMBAT_ATTACK_POINTS</t>
  </si>
  <si>
    <t>COMBAT_DEFENSE_POINTS</t>
  </si>
  <si>
    <t>version</t>
  </si>
  <si>
    <t xml:space="preserve"> </t>
  </si>
  <si>
    <t>T.Level2</t>
  </si>
  <si>
    <t>BIOMASS_LIFE_FACTOR</t>
  </si>
  <si>
    <t>control Q per salvar</t>
  </si>
  <si>
    <t>HEIGHT_ADULT</t>
  </si>
  <si>
    <t>CLIMATE_ET0_EVOTRANSPIRATION_AVG</t>
  </si>
  <si>
    <t>add_above_this_line</t>
  </si>
  <si>
    <t>TBD</t>
  </si>
  <si>
    <t>GENUS_ID</t>
  </si>
  <si>
    <t>GUARDAR COM EXCEL HABILITADO PARA MACROS</t>
  </si>
  <si>
    <t>_biomass_adult_max</t>
  </si>
  <si>
    <t>biomass at birth</t>
  </si>
  <si>
    <t>VIEW_RANGE</t>
  </si>
  <si>
    <t>metabolism_steps_per_month</t>
  </si>
  <si>
    <t>Catabolism adult (animals per step, plantes month)</t>
  </si>
  <si>
    <t>anabolism_input maximum / plant transpiration?</t>
  </si>
  <si>
    <t>SPEED_SLOW</t>
  </si>
  <si>
    <t>SPEED_FAST</t>
  </si>
  <si>
    <t>metab / biomass adult</t>
  </si>
  <si>
    <t>time to starvation - ESTIMATION</t>
  </si>
  <si>
    <t>biomass adult</t>
  </si>
  <si>
    <t>Metabolism variation per step</t>
  </si>
  <si>
    <t>steps to adult</t>
  </si>
  <si>
    <t>SPRITE_HEAD</t>
  </si>
  <si>
    <t>spr_crop_bush.png</t>
  </si>
  <si>
    <t>12.png</t>
  </si>
  <si>
    <t>63.png</t>
  </si>
  <si>
    <t>66.png</t>
  </si>
  <si>
    <t>24.png</t>
  </si>
  <si>
    <t>1.png</t>
  </si>
  <si>
    <t>68.png</t>
  </si>
  <si>
    <t>102.png</t>
  </si>
  <si>
    <t>2.png</t>
  </si>
  <si>
    <t>92.png</t>
  </si>
  <si>
    <t>77.png</t>
  </si>
  <si>
    <t>10.png</t>
  </si>
  <si>
    <t>tamany relatiu adult</t>
  </si>
  <si>
    <t>4.png</t>
  </si>
  <si>
    <t>138_rd.png</t>
  </si>
  <si>
    <t>91_rd.png</t>
  </si>
  <si>
    <t>130_rd3.png</t>
  </si>
  <si>
    <t>103_rd4.png</t>
  </si>
  <si>
    <t>101_rd.png</t>
  </si>
  <si>
    <t>FAMILY</t>
  </si>
  <si>
    <t>fam_animal_tiny</t>
  </si>
  <si>
    <t>fam_animal_small</t>
  </si>
  <si>
    <t>fam_animal_medium</t>
  </si>
  <si>
    <t>fam_animal_big</t>
  </si>
  <si>
    <t>fam_plant_grass</t>
  </si>
  <si>
    <t>fam_plant_bush</t>
  </si>
  <si>
    <t>fam_tree_small</t>
  </si>
  <si>
    <t>fam_tree_big</t>
  </si>
  <si>
    <t>fam_crop</t>
  </si>
  <si>
    <t>family_area</t>
  </si>
  <si>
    <t>m costat aprox</t>
  </si>
  <si>
    <t>si tamany cell = 10m2, en caben</t>
  </si>
  <si>
    <t xml:space="preserve">es una excepcio, sempre ocupa tot. </t>
  </si>
  <si>
    <t>Que fer amb massa si cell canvia?</t>
  </si>
  <si>
    <t>Lloc</t>
  </si>
  <si>
    <t>1=casa, 0=no a casa</t>
  </si>
  <si>
    <t>160.png</t>
  </si>
  <si>
    <t>96_rd.png</t>
  </si>
  <si>
    <t>ROOT_HEIGHT_RATIO</t>
  </si>
  <si>
    <t>REPRODUCTION_DISTANCE_M</t>
  </si>
  <si>
    <t>PR_BUSH</t>
  </si>
  <si>
    <t>PR_BUSH_2</t>
  </si>
  <si>
    <t>PR_BUSH_3</t>
  </si>
  <si>
    <t>PR_BUSH_4</t>
  </si>
  <si>
    <t>PR_BUSH_5</t>
  </si>
  <si>
    <t>PR_BUSH_DESERT</t>
  </si>
  <si>
    <t>PR_BUSH_ARTIC</t>
  </si>
  <si>
    <t>PR_CROP_BUSH</t>
  </si>
  <si>
    <t>PR_TREE_1</t>
  </si>
  <si>
    <t>PR_TREE_2</t>
  </si>
  <si>
    <t>PR_TREE_3</t>
  </si>
  <si>
    <t>PR_TREE_4</t>
  </si>
  <si>
    <t>PR_TREE_5</t>
  </si>
  <si>
    <t>PRI_TINY</t>
  </si>
  <si>
    <t>PRI_TINY_2</t>
  </si>
  <si>
    <t>PRI_TINY_3</t>
  </si>
  <si>
    <t>PRI_SMALL</t>
  </si>
  <si>
    <t>SEC_MEDIUM</t>
  </si>
  <si>
    <t>PRI_BIG</t>
  </si>
  <si>
    <t>SEC_TINY</t>
  </si>
  <si>
    <t>SEC_SMALL</t>
  </si>
  <si>
    <t>SEC_BIG</t>
  </si>
  <si>
    <t>SPRITE_SCALE_W</t>
  </si>
  <si>
    <t>SPRITE_SCALE_H</t>
  </si>
  <si>
    <t>79_border.png</t>
  </si>
  <si>
    <t>trop, cont, med</t>
  </si>
  <si>
    <t>cont, art</t>
  </si>
  <si>
    <t>med, cont</t>
  </si>
  <si>
    <t>tot no artic</t>
  </si>
  <si>
    <t>trop, med</t>
  </si>
  <si>
    <t>dry, trop</t>
  </si>
  <si>
    <t>artic</t>
  </si>
  <si>
    <t>KA_AREA</t>
  </si>
  <si>
    <t>ka_anabolims_factor</t>
  </si>
  <si>
    <t>_SPECIE_MUTABLE_GENS_FOLLOWING_</t>
  </si>
  <si>
    <t>NO SURT AQUEST?</t>
  </si>
  <si>
    <t>NO HAURIA DE SER MES GRAN QUE 1 PERQUE TREURIEM BIOMASSA DEL NO RES?</t>
  </si>
  <si>
    <t>SPECIE_COLOR_HSB</t>
  </si>
  <si>
    <t>94_rd_line.png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</si>
</sst>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206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rgb="FFA3A3A3"/>
      </right>
      <top style="medium">
        <color rgb="FFA3A3A3"/>
      </top>
      <bottom/>
      <diagonal/>
    </border>
    <border>
      <left/>
      <right style="medium">
        <color rgb="FFA3A3A3"/>
      </right>
      <top/>
      <bottom/>
      <diagonal/>
    </border>
    <border>
      <left/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medium">
        <color rgb="FFA3A3A3"/>
      </left>
      <right/>
      <top style="medium">
        <color rgb="FFA3A3A3"/>
      </top>
      <bottom/>
      <diagonal/>
    </border>
    <border>
      <left style="medium">
        <color rgb="FFA3A3A3"/>
      </left>
      <right/>
      <top/>
      <bottom/>
      <diagonal/>
    </border>
    <border>
      <left style="medium">
        <color rgb="FFA3A3A3"/>
      </left>
      <right/>
      <top style="medium">
        <color rgb="FFA3A3A3"/>
      </top>
      <bottom style="medium">
        <color rgb="FFA3A3A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64">
    <xf numFmtId="0" fontId="0" fillId="0" borderId="0" xfId="0"/>
    <xf numFmtId="0" fontId="0" fillId="3" borderId="0" xfId="0" applyFill="1"/>
    <xf numFmtId="0" fontId="0" fillId="2" borderId="0" xfId="0" applyFill="1"/>
    <xf numFmtId="0" fontId="1" fillId="4" borderId="0" xfId="0" applyFont="1" applyFill="1"/>
    <xf numFmtId="0" fontId="0" fillId="4" borderId="0" xfId="0" applyFill="1"/>
    <xf numFmtId="0" fontId="0" fillId="0" borderId="0" xfId="0" applyAlignment="1">
      <alignment wrapText="1"/>
    </xf>
    <xf numFmtId="0" fontId="3" fillId="0" borderId="0" xfId="0" applyFont="1"/>
    <xf numFmtId="0" fontId="3" fillId="3" borderId="0" xfId="0" applyFont="1" applyFill="1"/>
    <xf numFmtId="0" fontId="8" fillId="0" borderId="0" xfId="0" applyFont="1"/>
    <xf numFmtId="0" fontId="8" fillId="3" borderId="0" xfId="0" applyFont="1" applyFill="1"/>
    <xf numFmtId="0" fontId="2" fillId="5" borderId="0" xfId="0" applyFont="1" applyFill="1" applyAlignment="1">
      <alignment wrapText="1"/>
    </xf>
    <xf numFmtId="0" fontId="0" fillId="0" borderId="0" xfId="0" applyFill="1"/>
    <xf numFmtId="0" fontId="9" fillId="0" borderId="0" xfId="0" applyFont="1" applyAlignment="1">
      <alignment wrapText="1"/>
    </xf>
    <xf numFmtId="0" fontId="3" fillId="4" borderId="0" xfId="0" applyFont="1" applyFill="1"/>
    <xf numFmtId="0" fontId="3" fillId="0" borderId="0" xfId="0" applyFont="1" applyAlignment="1">
      <alignment wrapText="1"/>
    </xf>
    <xf numFmtId="164" fontId="0" fillId="2" borderId="0" xfId="0" applyNumberFormat="1" applyFill="1"/>
    <xf numFmtId="0" fontId="0" fillId="7" borderId="0" xfId="0" applyFill="1"/>
    <xf numFmtId="22" fontId="0" fillId="0" borderId="0" xfId="0" applyNumberFormat="1"/>
    <xf numFmtId="1" fontId="0" fillId="0" borderId="0" xfId="0" applyNumberFormat="1"/>
    <xf numFmtId="0" fontId="8" fillId="4" borderId="0" xfId="0" applyFont="1" applyFill="1"/>
    <xf numFmtId="0" fontId="8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8" fillId="0" borderId="2" xfId="0" applyFont="1" applyBorder="1"/>
    <xf numFmtId="0" fontId="2" fillId="6" borderId="0" xfId="0" applyFont="1" applyFill="1"/>
    <xf numFmtId="0" fontId="2" fillId="8" borderId="0" xfId="0" applyFont="1" applyFill="1"/>
    <xf numFmtId="0" fontId="2" fillId="9" borderId="0" xfId="0" applyFont="1" applyFill="1"/>
    <xf numFmtId="0" fontId="11" fillId="0" borderId="0" xfId="0" applyFont="1"/>
    <xf numFmtId="0" fontId="0" fillId="11" borderId="0" xfId="0" applyFill="1"/>
    <xf numFmtId="0" fontId="12" fillId="11" borderId="0" xfId="0" applyFont="1" applyFill="1"/>
    <xf numFmtId="0" fontId="8" fillId="11" borderId="0" xfId="0" applyFont="1" applyFill="1"/>
    <xf numFmtId="0" fontId="0" fillId="11" borderId="1" xfId="0" applyFill="1" applyBorder="1"/>
    <xf numFmtId="0" fontId="0" fillId="11" borderId="2" xfId="0" applyFill="1" applyBorder="1"/>
    <xf numFmtId="0" fontId="0" fillId="11" borderId="3" xfId="0" applyFill="1" applyBorder="1"/>
    <xf numFmtId="0" fontId="0" fillId="2" borderId="2" xfId="0" applyFill="1" applyBorder="1"/>
    <xf numFmtId="0" fontId="0" fillId="2" borderId="3" xfId="0" applyFill="1" applyBorder="1"/>
    <xf numFmtId="0" fontId="0" fillId="8" borderId="0" xfId="0" applyFill="1"/>
    <xf numFmtId="0" fontId="0" fillId="12" borderId="0" xfId="0" applyFill="1"/>
    <xf numFmtId="0" fontId="0" fillId="12" borderId="2" xfId="0" applyFill="1" applyBorder="1"/>
    <xf numFmtId="0" fontId="10" fillId="5" borderId="0" xfId="0" applyFont="1" applyFill="1" applyAlignment="1">
      <alignment wrapText="1"/>
    </xf>
    <xf numFmtId="165" fontId="0" fillId="13" borderId="0" xfId="0" applyNumberFormat="1" applyFill="1"/>
    <xf numFmtId="2" fontId="3" fillId="0" borderId="0" xfId="0" applyNumberFormat="1" applyFont="1"/>
    <xf numFmtId="10" fontId="3" fillId="0" borderId="0" xfId="1" applyNumberFormat="1" applyFont="1"/>
    <xf numFmtId="2" fontId="14" fillId="0" borderId="0" xfId="0" applyNumberFormat="1" applyFont="1"/>
    <xf numFmtId="10" fontId="14" fillId="0" borderId="0" xfId="1" applyNumberFormat="1" applyFont="1"/>
    <xf numFmtId="0" fontId="14" fillId="0" borderId="0" xfId="0" applyFont="1"/>
    <xf numFmtId="164" fontId="11" fillId="10" borderId="0" xfId="0" applyNumberFormat="1" applyFont="1" applyFill="1"/>
    <xf numFmtId="2" fontId="0" fillId="0" borderId="0" xfId="0" applyNumberFormat="1"/>
    <xf numFmtId="0" fontId="0" fillId="12" borderId="0" xfId="0" applyFill="1" applyAlignment="1">
      <alignment wrapText="1"/>
    </xf>
    <xf numFmtId="0" fontId="8" fillId="0" borderId="0" xfId="0" applyFont="1" applyAlignment="1">
      <alignment wrapText="1"/>
    </xf>
    <xf numFmtId="165" fontId="0" fillId="0" borderId="0" xfId="0" applyNumberFormat="1"/>
    <xf numFmtId="0" fontId="0" fillId="0" borderId="4" xfId="0" applyBorder="1" applyAlignment="1">
      <alignment vertical="center" wrapText="1"/>
    </xf>
    <xf numFmtId="0" fontId="0" fillId="0" borderId="5" xfId="0" applyBorder="1" applyAlignment="1">
      <alignment vertical="center" wrapText="1"/>
    </xf>
    <xf numFmtId="0" fontId="0" fillId="0" borderId="6" xfId="0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0" fillId="0" borderId="9" xfId="0" applyBorder="1" applyAlignment="1">
      <alignment vertical="center" wrapText="1"/>
    </xf>
    <xf numFmtId="0" fontId="0" fillId="2" borderId="0" xfId="0" applyFill="1" applyAlignment="1">
      <alignment wrapText="1"/>
    </xf>
    <xf numFmtId="0" fontId="8" fillId="2" borderId="0" xfId="0" applyFont="1" applyFill="1" applyAlignment="1">
      <alignment wrapText="1"/>
    </xf>
    <xf numFmtId="0" fontId="8" fillId="2" borderId="10" xfId="0" applyFont="1" applyFill="1" applyBorder="1"/>
    <xf numFmtId="2" fontId="0" fillId="0" borderId="0" xfId="0" quotePrefix="1" applyNumberFormat="1"/>
    <xf numFmtId="164" fontId="0" fillId="0" borderId="0" xfId="0" applyNumberFormat="1"/>
    <xf numFmtId="0" fontId="1" fillId="14" borderId="3" xfId="0" applyFont="1" applyFill="1" applyBorder="1"/>
  </cellXfs>
  <cellStyles count="2">
    <cellStyle name="Normal" xfId="0" builtinId="0"/>
    <cellStyle name="Porcentaje" xfId="1" builtinId="5"/>
  </cellStyles>
  <dxfs count="23">
    <dxf>
      <alignment horizontal="general" vertical="center" textRotation="0" wrapText="1" indent="0" justifyLastLine="0" shrinkToFit="0" readingOrder="0"/>
      <border diagonalUp="0" diagonalDown="0">
        <left style="medium">
          <color rgb="FFA3A3A3"/>
        </left>
        <right/>
        <top style="medium">
          <color rgb="FFA3A3A3"/>
        </top>
        <bottom style="medium">
          <color rgb="FFA3A3A3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/>
        <right style="medium">
          <color rgb="FFA3A3A3"/>
        </right>
        <top style="medium">
          <color rgb="FFA3A3A3"/>
        </top>
        <bottom style="medium">
          <color rgb="FFA3A3A3"/>
        </bottom>
        <vertical/>
        <horizontal/>
      </border>
    </dxf>
    <dxf>
      <border outline="0">
        <left style="medium">
          <color rgb="FFA3A3A3"/>
        </left>
        <right style="medium">
          <color rgb="FFA3A3A3"/>
        </right>
        <top style="medium">
          <color rgb="FFA3A3A3"/>
        </top>
        <bottom style="medium">
          <color rgb="FFA3A3A3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 style="medium">
          <color rgb="FFA3A3A3"/>
        </left>
        <right style="medium">
          <color rgb="FFA3A3A3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66675</xdr:colOff>
      <xdr:row>40</xdr:row>
      <xdr:rowOff>28575</xdr:rowOff>
    </xdr:from>
    <xdr:to>
      <xdr:col>8</xdr:col>
      <xdr:colOff>723818</xdr:colOff>
      <xdr:row>40</xdr:row>
      <xdr:rowOff>466670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B5188BDA-129B-4D96-A633-C83A017FE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0125" y="7753350"/>
          <a:ext cx="657143" cy="438095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40</xdr:row>
      <xdr:rowOff>0</xdr:rowOff>
    </xdr:from>
    <xdr:to>
      <xdr:col>9</xdr:col>
      <xdr:colOff>523810</xdr:colOff>
      <xdr:row>40</xdr:row>
      <xdr:rowOff>552381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60F114A5-6BDE-44BD-BDFE-03B07BD5D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15450" y="7724775"/>
          <a:ext cx="523810" cy="552381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40</xdr:row>
      <xdr:rowOff>0</xdr:rowOff>
    </xdr:from>
    <xdr:to>
      <xdr:col>10</xdr:col>
      <xdr:colOff>447619</xdr:colOff>
      <xdr:row>40</xdr:row>
      <xdr:rowOff>609524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40908F4-183D-4224-A3E6-599CB6F75D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77450" y="7724775"/>
          <a:ext cx="447619" cy="609524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40</xdr:row>
      <xdr:rowOff>0</xdr:rowOff>
    </xdr:from>
    <xdr:to>
      <xdr:col>11</xdr:col>
      <xdr:colOff>495238</xdr:colOff>
      <xdr:row>40</xdr:row>
      <xdr:rowOff>609524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9DDC5502-29B4-4D40-88A7-356F21950B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839450" y="7724775"/>
          <a:ext cx="495238" cy="609524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40</xdr:row>
      <xdr:rowOff>0</xdr:rowOff>
    </xdr:from>
    <xdr:to>
      <xdr:col>12</xdr:col>
      <xdr:colOff>580952</xdr:colOff>
      <xdr:row>40</xdr:row>
      <xdr:rowOff>619048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701B3D3A-8F98-4B0A-B052-76C29BD0E2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601450" y="7724775"/>
          <a:ext cx="580952" cy="6190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40</xdr:row>
      <xdr:rowOff>0</xdr:rowOff>
    </xdr:from>
    <xdr:to>
      <xdr:col>13</xdr:col>
      <xdr:colOff>580952</xdr:colOff>
      <xdr:row>40</xdr:row>
      <xdr:rowOff>476190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F6DA8B3F-9C23-419D-92B0-2AF4DFE18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363450" y="7724775"/>
          <a:ext cx="580952" cy="47619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40</xdr:row>
      <xdr:rowOff>0</xdr:rowOff>
    </xdr:from>
    <xdr:to>
      <xdr:col>14</xdr:col>
      <xdr:colOff>371527</xdr:colOff>
      <xdr:row>40</xdr:row>
      <xdr:rowOff>419158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2D1B891-4ACD-4FF7-80A7-B90C574E4A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211175" y="7915275"/>
          <a:ext cx="371527" cy="419158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40</xdr:row>
      <xdr:rowOff>0</xdr:rowOff>
    </xdr:from>
    <xdr:to>
      <xdr:col>18</xdr:col>
      <xdr:colOff>561975</xdr:colOff>
      <xdr:row>40</xdr:row>
      <xdr:rowOff>522400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DFDC22B4-2606-434D-B92C-425EB1339B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278225" y="8105775"/>
          <a:ext cx="561975" cy="522400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40</xdr:row>
      <xdr:rowOff>0</xdr:rowOff>
    </xdr:from>
    <xdr:to>
      <xdr:col>19</xdr:col>
      <xdr:colOff>409632</xdr:colOff>
      <xdr:row>40</xdr:row>
      <xdr:rowOff>419158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ABC84F3D-53F8-436A-BD35-3120F5659B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040225" y="8105775"/>
          <a:ext cx="409632" cy="419158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40</xdr:row>
      <xdr:rowOff>0</xdr:rowOff>
    </xdr:from>
    <xdr:to>
      <xdr:col>16</xdr:col>
      <xdr:colOff>428685</xdr:colOff>
      <xdr:row>40</xdr:row>
      <xdr:rowOff>447737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8BAD689A-F471-4460-9E3C-685CA521AF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744700" y="8105775"/>
          <a:ext cx="428685" cy="447737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40</xdr:row>
      <xdr:rowOff>0</xdr:rowOff>
    </xdr:from>
    <xdr:to>
      <xdr:col>15</xdr:col>
      <xdr:colOff>333422</xdr:colOff>
      <xdr:row>40</xdr:row>
      <xdr:rowOff>362001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65F4CC79-7E28-40B3-83AC-87D4BFC2D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3973175" y="8105775"/>
          <a:ext cx="333422" cy="362001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40</xdr:row>
      <xdr:rowOff>0</xdr:rowOff>
    </xdr:from>
    <xdr:to>
      <xdr:col>17</xdr:col>
      <xdr:colOff>428625</xdr:colOff>
      <xdr:row>40</xdr:row>
      <xdr:rowOff>392301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E93C040-9DE5-48ED-BFDB-52BAAB13B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516225" y="8105775"/>
          <a:ext cx="428625" cy="392301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40</xdr:row>
      <xdr:rowOff>0</xdr:rowOff>
    </xdr:from>
    <xdr:to>
      <xdr:col>20</xdr:col>
      <xdr:colOff>485843</xdr:colOff>
      <xdr:row>40</xdr:row>
      <xdr:rowOff>428685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3B1CA24D-4991-40C6-9C45-1A4C4A8E43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802225" y="8105775"/>
          <a:ext cx="485843" cy="42868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40</xdr:row>
      <xdr:rowOff>0</xdr:rowOff>
    </xdr:from>
    <xdr:to>
      <xdr:col>21</xdr:col>
      <xdr:colOff>514422</xdr:colOff>
      <xdr:row>40</xdr:row>
      <xdr:rowOff>466790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1BDD76C4-86C8-4F12-A4BD-49288E922A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8564225" y="8105775"/>
          <a:ext cx="514422" cy="46679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40</xdr:row>
      <xdr:rowOff>0</xdr:rowOff>
    </xdr:from>
    <xdr:to>
      <xdr:col>22</xdr:col>
      <xdr:colOff>533474</xdr:colOff>
      <xdr:row>40</xdr:row>
      <xdr:rowOff>562053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027791B5-1BFE-492D-B353-23B00390C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9326225" y="8105775"/>
          <a:ext cx="533474" cy="562053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40</xdr:row>
      <xdr:rowOff>0</xdr:rowOff>
    </xdr:from>
    <xdr:to>
      <xdr:col>5</xdr:col>
      <xdr:colOff>528917</xdr:colOff>
      <xdr:row>40</xdr:row>
      <xdr:rowOff>561975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E294F231-25FF-42F6-AA99-3D1AA48C31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267450" y="8105775"/>
          <a:ext cx="528917" cy="561975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40</xdr:row>
      <xdr:rowOff>0</xdr:rowOff>
    </xdr:from>
    <xdr:to>
      <xdr:col>4</xdr:col>
      <xdr:colOff>495369</xdr:colOff>
      <xdr:row>40</xdr:row>
      <xdr:rowOff>457264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D7D05D7C-71A5-4E30-B844-8DD782803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5505450" y="8105775"/>
          <a:ext cx="495369" cy="45726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40</xdr:row>
      <xdr:rowOff>0</xdr:rowOff>
    </xdr:from>
    <xdr:to>
      <xdr:col>3</xdr:col>
      <xdr:colOff>447737</xdr:colOff>
      <xdr:row>40</xdr:row>
      <xdr:rowOff>457264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1AE1C7BE-B96A-4624-9BE7-46DECEA6A7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4743450" y="8105775"/>
          <a:ext cx="447737" cy="45726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40</xdr:row>
      <xdr:rowOff>0</xdr:rowOff>
    </xdr:from>
    <xdr:to>
      <xdr:col>2</xdr:col>
      <xdr:colOff>552527</xdr:colOff>
      <xdr:row>40</xdr:row>
      <xdr:rowOff>609685</xdr:rowOff>
    </xdr:to>
    <xdr:pic>
      <xdr:nvPicPr>
        <xdr:cNvPr id="27" name="Imagen 26">
          <a:extLst>
            <a:ext uri="{FF2B5EF4-FFF2-40B4-BE49-F238E27FC236}">
              <a16:creationId xmlns:a16="http://schemas.microsoft.com/office/drawing/2014/main" id="{018F125D-578B-4056-B519-F09CC7920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3733800" y="8105775"/>
          <a:ext cx="552527" cy="60968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457264</xdr:colOff>
      <xdr:row>40</xdr:row>
      <xdr:rowOff>466790</xdr:rowOff>
    </xdr:to>
    <xdr:pic>
      <xdr:nvPicPr>
        <xdr:cNvPr id="28" name="Imagen 27">
          <a:extLst>
            <a:ext uri="{FF2B5EF4-FFF2-40B4-BE49-F238E27FC236}">
              <a16:creationId xmlns:a16="http://schemas.microsoft.com/office/drawing/2014/main" id="{0F44430A-065A-4DC8-AAF8-BAF1D30B2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695575" y="8105775"/>
          <a:ext cx="457264" cy="46679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40</xdr:row>
      <xdr:rowOff>0</xdr:rowOff>
    </xdr:from>
    <xdr:to>
      <xdr:col>6</xdr:col>
      <xdr:colOff>571580</xdr:colOff>
      <xdr:row>40</xdr:row>
      <xdr:rowOff>504895</xdr:rowOff>
    </xdr:to>
    <xdr:pic>
      <xdr:nvPicPr>
        <xdr:cNvPr id="29" name="Imagen 28">
          <a:extLst>
            <a:ext uri="{FF2B5EF4-FFF2-40B4-BE49-F238E27FC236}">
              <a16:creationId xmlns:a16="http://schemas.microsoft.com/office/drawing/2014/main" id="{A2EF532F-445A-4B6F-BF23-9B7EC2D1A1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029450" y="8105775"/>
          <a:ext cx="571580" cy="50489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7</xdr:col>
      <xdr:colOff>495369</xdr:colOff>
      <xdr:row>40</xdr:row>
      <xdr:rowOff>447737</xdr:rowOff>
    </xdr:to>
    <xdr:pic>
      <xdr:nvPicPr>
        <xdr:cNvPr id="31" name="Imagen 30">
          <a:extLst>
            <a:ext uri="{FF2B5EF4-FFF2-40B4-BE49-F238E27FC236}">
              <a16:creationId xmlns:a16="http://schemas.microsoft.com/office/drawing/2014/main" id="{05D4D128-5515-44A4-9FC7-0F254724D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791450" y="8105775"/>
          <a:ext cx="495369" cy="447737"/>
        </a:xfrm>
        <a:prstGeom prst="rect">
          <a:avLst/>
        </a:prstGeom>
      </xdr:spPr>
    </xdr:pic>
    <xdr:clientData/>
  </xdr:twoCellAnchor>
  <xdr:twoCellAnchor editAs="oneCell">
    <xdr:from>
      <xdr:col>11</xdr:col>
      <xdr:colOff>361950</xdr:colOff>
      <xdr:row>69</xdr:row>
      <xdr:rowOff>0</xdr:rowOff>
    </xdr:from>
    <xdr:to>
      <xdr:col>19</xdr:col>
      <xdr:colOff>57961</xdr:colOff>
      <xdr:row>70</xdr:row>
      <xdr:rowOff>9553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FBCF655A-2A74-4F5B-82C7-B6F492DBF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287125" y="14239875"/>
          <a:ext cx="5811061" cy="20005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676275</xdr:colOff>
      <xdr:row>4</xdr:row>
      <xdr:rowOff>47625</xdr:rowOff>
    </xdr:from>
    <xdr:to>
      <xdr:col>10</xdr:col>
      <xdr:colOff>48175</xdr:colOff>
      <xdr:row>25</xdr:row>
      <xdr:rowOff>29131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2D018AB-B77C-4A9C-AD46-2D979F7F8F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43450" y="809625"/>
          <a:ext cx="3943900" cy="398200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1E7A51-3F9A-457E-8164-DC9CE54AAD7E}" name="Tabla1" displayName="Tabla1" ref="A4:B31" totalsRowShown="0">
  <autoFilter ref="A4:B31" xr:uid="{32879433-947D-4C16-8A31-1D013AF5B66D}"/>
  <tableColumns count="2">
    <tableColumn id="1" xr3:uid="{E2FE4E06-7EB8-433B-B74E-86E06F282A09}" name="SPECIE"/>
    <tableColumn id="2" xr3:uid="{072F277B-7C10-4EDB-A8B0-995CFC3FA4D8}" name="Columna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F02F23A-80FE-43FA-B033-8D71C351971B}" name="Tabla3" displayName="Tabla3" ref="A37:B40" totalsRowShown="0">
  <autoFilter ref="A37:B40" xr:uid="{CB8FC755-80F0-493F-B516-320A711A4042}"/>
  <tableColumns count="2">
    <tableColumn id="1" xr3:uid="{871757CF-6856-4588-B8E9-BA23960BCFD7}" name="TROPHIC_LEVEL"/>
    <tableColumn id="2" xr3:uid="{DFAA0427-1F77-4C38-B162-5A7CF722FFF7}" name="Columna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5EBB88-25E3-4E1C-B625-F7DAC246A31A}" name="Tabla2" displayName="Tabla2" ref="A44:B54" totalsRowShown="0" headerRowDxfId="3" tableBorderDxfId="2">
  <autoFilter ref="A44:B54" xr:uid="{FD5EBB88-25E3-4E1C-B625-F7DAC246A31A}"/>
  <tableColumns count="2">
    <tableColumn id="1" xr3:uid="{063D9E6C-CA14-4C53-8AB5-F0249B0C328B}" name="FAMILY" dataDxfId="1"/>
    <tableColumn id="2" xr3:uid="{C175A2D7-28C4-4E8A-BFFE-8DDA19752258}" name="family_area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56E24-D116-4545-8100-A73B8CF06CFE}">
  <sheetPr codeName="Hoja1"/>
  <dimension ref="A1:W72"/>
  <sheetViews>
    <sheetView tabSelected="1" zoomScaleNormal="100" workbookViewId="0">
      <pane xSplit="1" ySplit="7" topLeftCell="D8" activePane="bottomRight" state="frozen"/>
      <selection pane="topRight" activeCell="B1" sqref="B1"/>
      <selection pane="bottomLeft" activeCell="A8" sqref="A8"/>
      <selection pane="bottomRight" activeCell="K15" sqref="K15"/>
    </sheetView>
  </sheetViews>
  <sheetFormatPr baseColWidth="10" defaultRowHeight="15" x14ac:dyDescent="0.25"/>
  <cols>
    <col min="1" max="1" width="40.42578125" customWidth="1"/>
    <col min="2" max="2" width="15.5703125" customWidth="1"/>
    <col min="3" max="3" width="15.140625" customWidth="1"/>
    <col min="9" max="9" width="12.7109375" customWidth="1"/>
    <col min="16" max="17" width="11.5703125" customWidth="1"/>
  </cols>
  <sheetData>
    <row r="1" spans="1:23" x14ac:dyDescent="0.25">
      <c r="A1" t="s">
        <v>44</v>
      </c>
      <c r="B1" s="17">
        <f ca="1">NOW()</f>
        <v>44418.641195717595</v>
      </c>
      <c r="C1" s="17"/>
      <c r="E1" s="28" t="s">
        <v>48</v>
      </c>
      <c r="G1" s="6" t="s">
        <v>54</v>
      </c>
      <c r="H1" s="6"/>
      <c r="I1" s="6"/>
      <c r="J1" s="6"/>
      <c r="K1" s="16" t="s">
        <v>103</v>
      </c>
      <c r="L1" s="16">
        <v>1</v>
      </c>
      <c r="M1" s="11" t="s">
        <v>104</v>
      </c>
      <c r="N1" s="11"/>
    </row>
    <row r="2" spans="1:23" x14ac:dyDescent="0.25">
      <c r="A2" s="6" t="s">
        <v>50</v>
      </c>
      <c r="B2" s="7">
        <v>180</v>
      </c>
      <c r="C2" s="7"/>
      <c r="E2" t="s">
        <v>37</v>
      </c>
    </row>
    <row r="3" spans="1:23" x14ac:dyDescent="0.25">
      <c r="A3" t="s">
        <v>39</v>
      </c>
      <c r="B3" s="1">
        <v>0.1</v>
      </c>
      <c r="C3" s="1"/>
      <c r="E3" s="16" t="s">
        <v>41</v>
      </c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5" spans="1:23" x14ac:dyDescent="0.25">
      <c r="A5" t="s">
        <v>18</v>
      </c>
      <c r="B5" s="25" t="s">
        <v>7</v>
      </c>
      <c r="C5" s="25" t="s">
        <v>7</v>
      </c>
      <c r="D5" s="25" t="s">
        <v>7</v>
      </c>
      <c r="E5" s="25" t="s">
        <v>7</v>
      </c>
      <c r="F5" s="25" t="s">
        <v>7</v>
      </c>
      <c r="G5" s="25" t="s">
        <v>7</v>
      </c>
      <c r="H5" s="25" t="s">
        <v>7</v>
      </c>
      <c r="I5" s="25" t="s">
        <v>7</v>
      </c>
      <c r="J5" s="25" t="s">
        <v>7</v>
      </c>
      <c r="K5" s="25" t="s">
        <v>7</v>
      </c>
      <c r="L5" s="25" t="s">
        <v>7</v>
      </c>
      <c r="M5" s="25" t="s">
        <v>7</v>
      </c>
      <c r="N5" s="25" t="s">
        <v>7</v>
      </c>
      <c r="O5" s="26" t="s">
        <v>8</v>
      </c>
      <c r="P5" s="26" t="s">
        <v>8</v>
      </c>
      <c r="Q5" s="26" t="s">
        <v>8</v>
      </c>
      <c r="R5" s="26" t="s">
        <v>8</v>
      </c>
      <c r="S5" s="26" t="s">
        <v>8</v>
      </c>
      <c r="T5" s="27" t="s">
        <v>5</v>
      </c>
      <c r="U5" s="27" t="s">
        <v>5</v>
      </c>
      <c r="V5" s="27" t="s">
        <v>5</v>
      </c>
      <c r="W5" s="27" t="s">
        <v>5</v>
      </c>
    </row>
    <row r="6" spans="1:23" x14ac:dyDescent="0.25">
      <c r="A6" s="3" t="s">
        <v>0</v>
      </c>
      <c r="B6" s="4"/>
      <c r="C6" s="4"/>
      <c r="D6" s="4"/>
      <c r="E6" s="4"/>
      <c r="F6" s="4"/>
      <c r="G6" s="19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</row>
    <row r="7" spans="1:23" ht="23.25" x14ac:dyDescent="0.25">
      <c r="A7" t="s">
        <v>38</v>
      </c>
      <c r="B7" s="10" t="s">
        <v>117</v>
      </c>
      <c r="C7" s="10" t="s">
        <v>118</v>
      </c>
      <c r="D7" s="10" t="s">
        <v>119</v>
      </c>
      <c r="E7" s="10" t="s">
        <v>120</v>
      </c>
      <c r="F7" s="10" t="s">
        <v>121</v>
      </c>
      <c r="G7" s="40" t="s">
        <v>116</v>
      </c>
      <c r="H7" s="10" t="s">
        <v>109</v>
      </c>
      <c r="I7" s="10" t="s">
        <v>110</v>
      </c>
      <c r="J7" s="10" t="s">
        <v>111</v>
      </c>
      <c r="K7" s="10" t="s">
        <v>112</v>
      </c>
      <c r="L7" s="10" t="s">
        <v>113</v>
      </c>
      <c r="M7" s="10" t="s">
        <v>114</v>
      </c>
      <c r="N7" s="10" t="s">
        <v>115</v>
      </c>
      <c r="O7" s="10" t="s">
        <v>122</v>
      </c>
      <c r="P7" s="10" t="s">
        <v>123</v>
      </c>
      <c r="Q7" s="10" t="s">
        <v>124</v>
      </c>
      <c r="R7" s="10" t="s">
        <v>125</v>
      </c>
      <c r="S7" s="10" t="s">
        <v>127</v>
      </c>
      <c r="T7" s="10" t="s">
        <v>128</v>
      </c>
      <c r="U7" s="10" t="s">
        <v>129</v>
      </c>
      <c r="V7" s="10" t="s">
        <v>126</v>
      </c>
      <c r="W7" s="10" t="s">
        <v>130</v>
      </c>
    </row>
    <row r="8" spans="1:23" x14ac:dyDescent="0.25">
      <c r="A8" s="37" t="s">
        <v>53</v>
      </c>
      <c r="B8" s="2">
        <f>VLOOKUP(B7,Tabla1[#All],2,FALSE)</f>
        <v>9</v>
      </c>
      <c r="C8" s="2">
        <f>VLOOKUP(C7,Tabla1[#All],2,FALSE)</f>
        <v>10</v>
      </c>
      <c r="D8" s="2">
        <f>VLOOKUP(D7,Tabla1[#All],2,FALSE)</f>
        <v>11</v>
      </c>
      <c r="E8" s="2">
        <f>VLOOKUP(E7,Tabla1[#All],2,FALSE)</f>
        <v>12</v>
      </c>
      <c r="F8" s="2">
        <f>VLOOKUP(F7,Tabla1[#All],2,FALSE)</f>
        <v>13</v>
      </c>
      <c r="G8" s="20">
        <f>VLOOKUP(G7,Tabla1[#All],2,FALSE)</f>
        <v>8</v>
      </c>
      <c r="H8" s="2">
        <f>VLOOKUP(H7,Tabla1[#All],2,FALSE)</f>
        <v>1</v>
      </c>
      <c r="I8" s="2">
        <f>VLOOKUP(I7,Tabla1[#All],2,FALSE)</f>
        <v>2</v>
      </c>
      <c r="J8" s="2">
        <f>VLOOKUP(J7,Tabla1[#All],2,FALSE)</f>
        <v>3</v>
      </c>
      <c r="K8" s="2">
        <f>VLOOKUP(K7,Tabla1[#All],2,FALSE)</f>
        <v>4</v>
      </c>
      <c r="L8" s="2">
        <f>VLOOKUP(L7,Tabla1[#All],2,FALSE)</f>
        <v>5</v>
      </c>
      <c r="M8" s="2">
        <f>VLOOKUP(M7,Tabla1[#All],2,FALSE)</f>
        <v>6</v>
      </c>
      <c r="N8" s="2">
        <f>VLOOKUP(N7,Tabla1[#All],2,FALSE)</f>
        <v>7</v>
      </c>
      <c r="O8" s="2">
        <f>VLOOKUP(O7,Tabla1[#All],2,FALSE)</f>
        <v>14</v>
      </c>
      <c r="P8" s="2">
        <f>VLOOKUP(P7,Tabla1[#All],2,FALSE)</f>
        <v>15</v>
      </c>
      <c r="Q8" s="2">
        <f>VLOOKUP(Q7,Tabla1[#All],2,FALSE)</f>
        <v>16</v>
      </c>
      <c r="R8" s="2">
        <f>VLOOKUP(R7,Tabla1[#All],2,FALSE)</f>
        <v>17</v>
      </c>
      <c r="S8" s="2">
        <f>VLOOKUP(S7,Tabla1[#All],2,FALSE)</f>
        <v>19</v>
      </c>
      <c r="T8" s="2">
        <f>VLOOKUP(T7,Tabla1[#All],2,FALSE)</f>
        <v>20</v>
      </c>
      <c r="U8" s="2">
        <f>VLOOKUP(U7,Tabla1[#All],2,FALSE)</f>
        <v>21</v>
      </c>
      <c r="V8" s="2">
        <f>VLOOKUP(V7,Tabla1[#All],2,FALSE)</f>
        <v>18</v>
      </c>
      <c r="W8" s="2">
        <f>VLOOKUP(W7,Tabla1[#All],2,FALSE)</f>
        <v>22</v>
      </c>
    </row>
    <row r="9" spans="1:23" x14ac:dyDescent="0.25">
      <c r="A9" s="37" t="s">
        <v>6</v>
      </c>
      <c r="B9" s="2">
        <f>VLOOKUP(B5,Tabla3[#All],2,FALSE)</f>
        <v>0</v>
      </c>
      <c r="C9" s="2">
        <f>VLOOKUP(C5,Tabla3[#All],2,FALSE)</f>
        <v>0</v>
      </c>
      <c r="D9" s="2">
        <f>VLOOKUP(D5,Tabla3[#All],2,FALSE)</f>
        <v>0</v>
      </c>
      <c r="E9" s="2">
        <f>VLOOKUP(E5,Tabla3[#All],2,FALSE)</f>
        <v>0</v>
      </c>
      <c r="F9" s="2">
        <f>VLOOKUP(F5,Tabla3[#All],2,FALSE)</f>
        <v>0</v>
      </c>
      <c r="G9" s="20">
        <f>VLOOKUP(G5,Tabla3[#All],2,FALSE)</f>
        <v>0</v>
      </c>
      <c r="H9" s="2">
        <f>VLOOKUP(H5,Tabla3[#All],2,FALSE)</f>
        <v>0</v>
      </c>
      <c r="I9" s="2">
        <f>VLOOKUP(I5,Tabla3[#All],2,FALSE)</f>
        <v>0</v>
      </c>
      <c r="J9" s="2">
        <f>VLOOKUP(J5,Tabla3[#All],2,FALSE)</f>
        <v>0</v>
      </c>
      <c r="K9" s="2">
        <f>VLOOKUP(K5,Tabla3[#All],2,FALSE)</f>
        <v>0</v>
      </c>
      <c r="L9" s="2">
        <f>VLOOKUP(L5,Tabla3[#All],2,FALSE)</f>
        <v>0</v>
      </c>
      <c r="M9" s="2">
        <f>VLOOKUP(M5,Tabla3[#All],2,FALSE)</f>
        <v>0</v>
      </c>
      <c r="N9" s="2">
        <f>VLOOKUP(N5,Tabla3[#All],2,FALSE)</f>
        <v>0</v>
      </c>
      <c r="O9" s="2">
        <f>VLOOKUP(O5,Tabla3[#All],2,FALSE)</f>
        <v>1</v>
      </c>
      <c r="P9" s="2">
        <f>VLOOKUP(P5,Tabla3[#All],2,FALSE)</f>
        <v>1</v>
      </c>
      <c r="Q9" s="2">
        <f>VLOOKUP(Q5,Tabla3[#All],2,FALSE)</f>
        <v>1</v>
      </c>
      <c r="R9" s="2">
        <f>VLOOKUP(R5,Tabla3[#All],2,FALSE)</f>
        <v>1</v>
      </c>
      <c r="S9" s="2">
        <f>VLOOKUP(S5,Tabla3[#All],2,FALSE)</f>
        <v>1</v>
      </c>
      <c r="T9" s="2">
        <f>VLOOKUP(T5,Tabla3[#All],2,FALSE)</f>
        <v>2</v>
      </c>
      <c r="U9" s="2">
        <f>VLOOKUP(U5,Tabla3[#All],2,FALSE)</f>
        <v>2</v>
      </c>
      <c r="V9" s="2">
        <f>VLOOKUP(V5,Tabla3[#All],2,FALSE)</f>
        <v>2</v>
      </c>
      <c r="W9" s="2">
        <f>VLOOKUP(W5,Tabla3[#All],2,FALSE)</f>
        <v>2</v>
      </c>
    </row>
    <row r="10" spans="1:23" ht="30" x14ac:dyDescent="0.25">
      <c r="A10" s="37" t="s">
        <v>88</v>
      </c>
      <c r="B10" s="58" t="s">
        <v>95</v>
      </c>
      <c r="C10" s="58" t="s">
        <v>95</v>
      </c>
      <c r="D10" s="58" t="s">
        <v>96</v>
      </c>
      <c r="E10" s="58" t="s">
        <v>96</v>
      </c>
      <c r="F10" s="58" t="s">
        <v>95</v>
      </c>
      <c r="G10" s="59" t="s">
        <v>97</v>
      </c>
      <c r="H10" s="58" t="s">
        <v>94</v>
      </c>
      <c r="I10" s="58" t="s">
        <v>94</v>
      </c>
      <c r="J10" s="58" t="s">
        <v>94</v>
      </c>
      <c r="K10" s="58" t="s">
        <v>94</v>
      </c>
      <c r="L10" s="58" t="s">
        <v>94</v>
      </c>
      <c r="M10" s="58" t="s">
        <v>94</v>
      </c>
      <c r="N10" s="58" t="s">
        <v>94</v>
      </c>
      <c r="O10" s="58" t="s">
        <v>89</v>
      </c>
      <c r="P10" s="58" t="s">
        <v>89</v>
      </c>
      <c r="Q10" s="58" t="s">
        <v>89</v>
      </c>
      <c r="R10" s="58" t="s">
        <v>90</v>
      </c>
      <c r="S10" s="58" t="s">
        <v>92</v>
      </c>
      <c r="T10" s="58" t="s">
        <v>89</v>
      </c>
      <c r="U10" s="58" t="s">
        <v>90</v>
      </c>
      <c r="V10" s="58" t="s">
        <v>91</v>
      </c>
      <c r="W10" s="58" t="s">
        <v>92</v>
      </c>
    </row>
    <row r="11" spans="1:23" x14ac:dyDescent="0.25">
      <c r="A11" s="38" t="s">
        <v>14</v>
      </c>
      <c r="B11">
        <v>0</v>
      </c>
      <c r="C11">
        <v>0</v>
      </c>
      <c r="D11">
        <v>0</v>
      </c>
      <c r="E11">
        <v>0</v>
      </c>
      <c r="F11">
        <v>0</v>
      </c>
      <c r="G11" s="8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5">
      <c r="A12" s="38" t="s">
        <v>10</v>
      </c>
      <c r="B12">
        <v>0</v>
      </c>
      <c r="C12">
        <v>0</v>
      </c>
      <c r="D12">
        <v>0</v>
      </c>
      <c r="E12">
        <v>0</v>
      </c>
      <c r="F12">
        <v>0</v>
      </c>
      <c r="G12" s="8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5">
      <c r="A13" s="38" t="s">
        <v>146</v>
      </c>
      <c r="B13">
        <v>-1</v>
      </c>
      <c r="C13">
        <v>-1</v>
      </c>
      <c r="D13">
        <v>-1</v>
      </c>
      <c r="E13">
        <v>-1</v>
      </c>
      <c r="F13">
        <v>-1</v>
      </c>
      <c r="G13" s="8">
        <v>-1</v>
      </c>
      <c r="H13">
        <v>-1</v>
      </c>
      <c r="I13">
        <v>-1</v>
      </c>
      <c r="J13">
        <v>-1</v>
      </c>
      <c r="K13">
        <v>-1</v>
      </c>
      <c r="L13">
        <v>-1</v>
      </c>
      <c r="M13">
        <v>-1</v>
      </c>
      <c r="N13">
        <v>-1</v>
      </c>
      <c r="O13">
        <v>-1</v>
      </c>
      <c r="P13">
        <v>-1</v>
      </c>
      <c r="Q13">
        <v>-1</v>
      </c>
      <c r="R13">
        <v>-1</v>
      </c>
      <c r="S13">
        <v>-1</v>
      </c>
      <c r="T13">
        <v>-1</v>
      </c>
      <c r="U13">
        <v>-1</v>
      </c>
      <c r="V13">
        <v>-1</v>
      </c>
      <c r="W13">
        <v>-1</v>
      </c>
    </row>
    <row r="14" spans="1:23" s="5" customFormat="1" ht="30" x14ac:dyDescent="0.25">
      <c r="A14" s="49" t="s">
        <v>68</v>
      </c>
      <c r="B14" s="50" t="s">
        <v>75</v>
      </c>
      <c r="C14" s="50" t="s">
        <v>87</v>
      </c>
      <c r="D14" s="5" t="s">
        <v>83</v>
      </c>
      <c r="E14" s="5" t="s">
        <v>76</v>
      </c>
      <c r="F14" s="5" t="s">
        <v>85</v>
      </c>
      <c r="G14" s="5" t="s">
        <v>69</v>
      </c>
      <c r="H14" s="5" t="s">
        <v>86</v>
      </c>
      <c r="I14" s="5" t="s">
        <v>84</v>
      </c>
      <c r="J14" s="5" t="s">
        <v>78</v>
      </c>
      <c r="K14" s="5" t="s">
        <v>147</v>
      </c>
      <c r="L14" s="5" t="s">
        <v>106</v>
      </c>
      <c r="M14" s="5" t="s">
        <v>77</v>
      </c>
      <c r="N14" s="5" t="s">
        <v>79</v>
      </c>
      <c r="O14" s="5" t="s">
        <v>133</v>
      </c>
      <c r="P14" s="5" t="s">
        <v>72</v>
      </c>
      <c r="Q14" s="5" t="s">
        <v>71</v>
      </c>
      <c r="R14" s="5" t="s">
        <v>70</v>
      </c>
      <c r="S14" s="5" t="s">
        <v>80</v>
      </c>
      <c r="T14" s="5" t="s">
        <v>105</v>
      </c>
      <c r="U14" s="5" t="s">
        <v>74</v>
      </c>
      <c r="V14" s="5" t="s">
        <v>73</v>
      </c>
      <c r="W14" s="5" t="s">
        <v>82</v>
      </c>
    </row>
    <row r="15" spans="1:23" x14ac:dyDescent="0.25">
      <c r="A15" s="38" t="s">
        <v>131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0.7</v>
      </c>
      <c r="I15">
        <v>0.7</v>
      </c>
      <c r="J15">
        <v>0.5</v>
      </c>
      <c r="K15">
        <v>0.7</v>
      </c>
      <c r="L15">
        <v>0.7</v>
      </c>
      <c r="M15">
        <v>0.7</v>
      </c>
      <c r="N15">
        <v>0.7</v>
      </c>
      <c r="O15">
        <v>1</v>
      </c>
      <c r="P15">
        <v>1</v>
      </c>
      <c r="Q15">
        <v>1</v>
      </c>
      <c r="R15">
        <v>1</v>
      </c>
      <c r="S15">
        <v>0.9</v>
      </c>
      <c r="T15">
        <v>1</v>
      </c>
      <c r="U15">
        <v>1</v>
      </c>
      <c r="V15">
        <v>0.9</v>
      </c>
      <c r="W15">
        <v>0.9</v>
      </c>
    </row>
    <row r="16" spans="1:23" x14ac:dyDescent="0.25">
      <c r="A16" s="39" t="s">
        <v>132</v>
      </c>
      <c r="B16" s="1">
        <v>1</v>
      </c>
      <c r="C16" s="1">
        <v>1</v>
      </c>
      <c r="D16" s="1">
        <v>1</v>
      </c>
      <c r="E16" s="1">
        <v>1</v>
      </c>
      <c r="F16" s="1">
        <v>1</v>
      </c>
      <c r="G16" s="1">
        <v>1</v>
      </c>
      <c r="H16" s="1">
        <v>0.7</v>
      </c>
      <c r="I16" s="1">
        <v>0.7</v>
      </c>
      <c r="J16" s="1">
        <v>0.5</v>
      </c>
      <c r="K16" s="1">
        <v>0.7</v>
      </c>
      <c r="L16" s="1">
        <v>0.7</v>
      </c>
      <c r="M16" s="1">
        <v>0.7</v>
      </c>
      <c r="N16" s="1">
        <v>0.7</v>
      </c>
      <c r="O16" s="1">
        <v>1</v>
      </c>
      <c r="P16" s="1">
        <v>1</v>
      </c>
      <c r="Q16" s="1">
        <v>1</v>
      </c>
      <c r="R16" s="1">
        <v>1</v>
      </c>
      <c r="S16" s="1">
        <v>0.9</v>
      </c>
      <c r="T16" s="1">
        <v>1</v>
      </c>
      <c r="U16" s="1">
        <v>1</v>
      </c>
      <c r="V16" s="1">
        <v>0.9</v>
      </c>
      <c r="W16" s="1">
        <v>0.9</v>
      </c>
    </row>
    <row r="17" spans="1:23" x14ac:dyDescent="0.25">
      <c r="A17" t="s">
        <v>11</v>
      </c>
      <c r="B17">
        <v>12</v>
      </c>
      <c r="C17">
        <v>12</v>
      </c>
      <c r="D17">
        <v>12</v>
      </c>
      <c r="E17">
        <v>12</v>
      </c>
      <c r="F17">
        <v>12</v>
      </c>
      <c r="G17" s="8">
        <v>3</v>
      </c>
      <c r="H17">
        <v>3</v>
      </c>
      <c r="I17">
        <v>3</v>
      </c>
      <c r="J17">
        <v>3</v>
      </c>
      <c r="K17">
        <v>3</v>
      </c>
      <c r="L17">
        <v>3</v>
      </c>
      <c r="M17">
        <v>15</v>
      </c>
      <c r="N17">
        <v>3</v>
      </c>
      <c r="O17">
        <v>3</v>
      </c>
      <c r="P17">
        <v>3</v>
      </c>
      <c r="Q17">
        <v>7</v>
      </c>
      <c r="R17">
        <v>4</v>
      </c>
      <c r="S17">
        <v>4</v>
      </c>
      <c r="T17">
        <v>6</v>
      </c>
      <c r="U17">
        <v>5</v>
      </c>
      <c r="V17">
        <v>7</v>
      </c>
      <c r="W17">
        <v>7</v>
      </c>
    </row>
    <row r="18" spans="1:23" x14ac:dyDescent="0.25">
      <c r="A18" s="21" t="s">
        <v>12</v>
      </c>
      <c r="B18">
        <v>1</v>
      </c>
      <c r="C18">
        <v>1</v>
      </c>
      <c r="D18">
        <v>1</v>
      </c>
      <c r="E18">
        <v>1</v>
      </c>
      <c r="F18">
        <v>1</v>
      </c>
      <c r="G18" s="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0.3</v>
      </c>
      <c r="P18">
        <v>0.5</v>
      </c>
      <c r="Q18">
        <v>0.3</v>
      </c>
      <c r="R18">
        <v>0.5</v>
      </c>
      <c r="S18">
        <v>1</v>
      </c>
      <c r="T18">
        <v>0.5</v>
      </c>
      <c r="U18">
        <v>0.3</v>
      </c>
      <c r="V18">
        <v>1</v>
      </c>
      <c r="W18">
        <v>1</v>
      </c>
    </row>
    <row r="19" spans="1:23" x14ac:dyDescent="0.25">
      <c r="A19" s="22" t="s">
        <v>108</v>
      </c>
      <c r="B19">
        <v>7</v>
      </c>
      <c r="C19">
        <v>7</v>
      </c>
      <c r="D19">
        <v>7</v>
      </c>
      <c r="E19">
        <v>7</v>
      </c>
      <c r="F19">
        <v>7</v>
      </c>
      <c r="G19">
        <v>3.4375</v>
      </c>
      <c r="H19">
        <v>2</v>
      </c>
      <c r="I19">
        <v>2</v>
      </c>
      <c r="J19">
        <v>2</v>
      </c>
      <c r="K19">
        <v>2.5</v>
      </c>
      <c r="L19">
        <v>2</v>
      </c>
      <c r="M19">
        <v>5</v>
      </c>
      <c r="N19">
        <v>2</v>
      </c>
      <c r="O19">
        <v>1</v>
      </c>
      <c r="P19">
        <v>1</v>
      </c>
      <c r="Q19">
        <v>1.5</v>
      </c>
      <c r="R19">
        <v>1</v>
      </c>
      <c r="S19">
        <v>1</v>
      </c>
      <c r="T19">
        <v>0.5</v>
      </c>
      <c r="U19">
        <v>0.5</v>
      </c>
      <c r="V19">
        <v>3.125E-2</v>
      </c>
      <c r="W19">
        <v>3.125E-2</v>
      </c>
    </row>
    <row r="20" spans="1:23" x14ac:dyDescent="0.25">
      <c r="A20" s="23" t="s">
        <v>21</v>
      </c>
      <c r="B20">
        <v>1</v>
      </c>
      <c r="C20">
        <v>1</v>
      </c>
      <c r="D20">
        <v>1</v>
      </c>
      <c r="E20">
        <v>1</v>
      </c>
      <c r="F20">
        <v>1</v>
      </c>
      <c r="G20" s="8">
        <v>4</v>
      </c>
      <c r="H20">
        <v>2</v>
      </c>
      <c r="I20">
        <v>2</v>
      </c>
      <c r="J20">
        <v>2</v>
      </c>
      <c r="K20">
        <v>3</v>
      </c>
      <c r="L20">
        <v>2</v>
      </c>
      <c r="M20">
        <v>1</v>
      </c>
      <c r="N20">
        <v>4</v>
      </c>
      <c r="O20">
        <v>1</v>
      </c>
      <c r="P20">
        <v>3</v>
      </c>
      <c r="Q20">
        <v>2</v>
      </c>
      <c r="R20">
        <v>2</v>
      </c>
      <c r="S20">
        <v>1</v>
      </c>
      <c r="T20">
        <v>1</v>
      </c>
      <c r="U20">
        <v>2</v>
      </c>
      <c r="V20">
        <v>1</v>
      </c>
      <c r="W20">
        <v>1</v>
      </c>
    </row>
    <row r="21" spans="1:23" x14ac:dyDescent="0.25">
      <c r="A21" s="21" t="s">
        <v>42</v>
      </c>
      <c r="B21">
        <v>0</v>
      </c>
      <c r="C21">
        <v>0</v>
      </c>
      <c r="D21">
        <v>0</v>
      </c>
      <c r="E21">
        <v>0</v>
      </c>
      <c r="F21">
        <v>0</v>
      </c>
      <c r="G21" s="8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2</v>
      </c>
      <c r="P21">
        <v>2</v>
      </c>
      <c r="Q21">
        <v>2</v>
      </c>
      <c r="R21">
        <v>2</v>
      </c>
      <c r="S21">
        <v>4</v>
      </c>
      <c r="T21">
        <v>3</v>
      </c>
      <c r="U21">
        <v>3</v>
      </c>
      <c r="V21">
        <v>3</v>
      </c>
      <c r="W21">
        <v>6</v>
      </c>
    </row>
    <row r="22" spans="1:23" x14ac:dyDescent="0.25">
      <c r="A22" s="23" t="s">
        <v>43</v>
      </c>
      <c r="B22">
        <v>3</v>
      </c>
      <c r="C22">
        <v>3</v>
      </c>
      <c r="D22">
        <v>3</v>
      </c>
      <c r="E22">
        <v>3</v>
      </c>
      <c r="F22">
        <v>3</v>
      </c>
      <c r="G22" s="8">
        <v>1</v>
      </c>
      <c r="H22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2</v>
      </c>
      <c r="P22">
        <v>2</v>
      </c>
      <c r="Q22">
        <v>2</v>
      </c>
      <c r="R22">
        <v>2</v>
      </c>
      <c r="S22">
        <v>2</v>
      </c>
      <c r="T22">
        <v>3</v>
      </c>
      <c r="U22">
        <v>3</v>
      </c>
      <c r="V22">
        <v>3</v>
      </c>
      <c r="W22">
        <v>3</v>
      </c>
    </row>
    <row r="23" spans="1:23" x14ac:dyDescent="0.25">
      <c r="A23" s="22" t="s">
        <v>57</v>
      </c>
      <c r="B23" s="51">
        <v>0</v>
      </c>
      <c r="C23" s="51">
        <v>0</v>
      </c>
      <c r="D23" s="51">
        <v>0</v>
      </c>
      <c r="E23" s="51">
        <v>0</v>
      </c>
      <c r="F23" s="51">
        <v>0</v>
      </c>
      <c r="G23" s="51">
        <v>0</v>
      </c>
      <c r="H23" s="51">
        <v>0</v>
      </c>
      <c r="I23" s="51">
        <v>0</v>
      </c>
      <c r="J23" s="51">
        <v>0</v>
      </c>
      <c r="K23" s="51">
        <v>0</v>
      </c>
      <c r="L23" s="51">
        <v>0</v>
      </c>
      <c r="M23" s="51">
        <v>0</v>
      </c>
      <c r="N23" s="51">
        <v>0</v>
      </c>
      <c r="O23" s="51">
        <v>1</v>
      </c>
      <c r="P23" s="51">
        <v>3</v>
      </c>
      <c r="Q23" s="51">
        <v>1</v>
      </c>
      <c r="R23" s="51">
        <v>1</v>
      </c>
      <c r="S23" s="51">
        <v>3</v>
      </c>
      <c r="T23" s="51">
        <v>4</v>
      </c>
      <c r="U23" s="51">
        <v>2</v>
      </c>
      <c r="V23" s="51">
        <v>4</v>
      </c>
      <c r="W23" s="51">
        <v>4</v>
      </c>
    </row>
    <row r="24" spans="1:23" x14ac:dyDescent="0.25">
      <c r="A24" s="22" t="s">
        <v>61</v>
      </c>
      <c r="B24" s="51">
        <v>0</v>
      </c>
      <c r="C24" s="51">
        <v>0</v>
      </c>
      <c r="D24" s="51">
        <v>0</v>
      </c>
      <c r="E24" s="51">
        <v>0</v>
      </c>
      <c r="F24" s="51">
        <v>0</v>
      </c>
      <c r="G24" s="51">
        <v>0</v>
      </c>
      <c r="H24" s="51">
        <v>0</v>
      </c>
      <c r="I24" s="51">
        <v>0</v>
      </c>
      <c r="J24" s="51">
        <v>0</v>
      </c>
      <c r="K24" s="51">
        <v>0</v>
      </c>
      <c r="L24" s="51">
        <v>0</v>
      </c>
      <c r="M24" s="51">
        <v>0</v>
      </c>
      <c r="N24" s="51">
        <v>0</v>
      </c>
      <c r="O24" s="48">
        <v>6.25E-2</v>
      </c>
      <c r="P24" s="61">
        <v>0.1</v>
      </c>
      <c r="Q24" s="48">
        <v>0.15625</v>
      </c>
      <c r="R24" s="48">
        <v>0.15625</v>
      </c>
      <c r="S24" s="48">
        <v>0.15625</v>
      </c>
      <c r="T24" s="48">
        <v>0.1</v>
      </c>
      <c r="U24" s="48">
        <v>0.15625</v>
      </c>
      <c r="V24" s="48">
        <v>0.3125</v>
      </c>
      <c r="W24" s="48">
        <v>0.3125</v>
      </c>
    </row>
    <row r="25" spans="1:23" x14ac:dyDescent="0.25">
      <c r="A25" s="22" t="s">
        <v>62</v>
      </c>
      <c r="B25" s="51">
        <v>0</v>
      </c>
      <c r="C25" s="51">
        <v>0</v>
      </c>
      <c r="D25" s="51">
        <v>0</v>
      </c>
      <c r="E25" s="51">
        <v>0</v>
      </c>
      <c r="F25" s="51">
        <v>0</v>
      </c>
      <c r="G25" s="51">
        <v>0</v>
      </c>
      <c r="H25" s="51">
        <v>0</v>
      </c>
      <c r="I25" s="51">
        <v>0</v>
      </c>
      <c r="J25" s="51">
        <v>0</v>
      </c>
      <c r="K25" s="51">
        <v>0</v>
      </c>
      <c r="L25" s="51">
        <v>0</v>
      </c>
      <c r="M25" s="51">
        <v>0</v>
      </c>
      <c r="N25" s="51">
        <v>0</v>
      </c>
      <c r="O25" s="48">
        <v>9.375E-2</v>
      </c>
      <c r="P25" s="48">
        <v>0.1</v>
      </c>
      <c r="Q25" s="48">
        <v>0.3125</v>
      </c>
      <c r="R25" s="48">
        <v>0.35</v>
      </c>
      <c r="S25" s="48">
        <v>0.3125</v>
      </c>
      <c r="T25" s="48">
        <v>0.18</v>
      </c>
      <c r="U25" s="48">
        <v>0.4</v>
      </c>
      <c r="V25" s="48">
        <v>0.4</v>
      </c>
      <c r="W25" s="48">
        <v>0.4</v>
      </c>
    </row>
    <row r="26" spans="1:23" x14ac:dyDescent="0.25">
      <c r="A26" s="23" t="s">
        <v>15</v>
      </c>
      <c r="B26">
        <v>400</v>
      </c>
      <c r="C26">
        <v>400</v>
      </c>
      <c r="D26">
        <v>400</v>
      </c>
      <c r="E26">
        <v>400</v>
      </c>
      <c r="F26">
        <v>400</v>
      </c>
      <c r="G26" s="8">
        <v>500</v>
      </c>
      <c r="H26">
        <v>6</v>
      </c>
      <c r="I26">
        <v>6</v>
      </c>
      <c r="J26">
        <v>6</v>
      </c>
      <c r="K26">
        <v>6</v>
      </c>
      <c r="L26">
        <v>6</v>
      </c>
      <c r="M26">
        <v>6</v>
      </c>
      <c r="N26">
        <v>10</v>
      </c>
      <c r="O26">
        <v>1</v>
      </c>
      <c r="P26">
        <v>3</v>
      </c>
      <c r="Q26">
        <v>6</v>
      </c>
      <c r="R26">
        <v>12</v>
      </c>
      <c r="S26">
        <v>24</v>
      </c>
      <c r="T26">
        <v>6</v>
      </c>
      <c r="U26">
        <v>25</v>
      </c>
      <c r="V26">
        <v>50</v>
      </c>
      <c r="W26">
        <v>100</v>
      </c>
    </row>
    <row r="27" spans="1:23" x14ac:dyDescent="0.25">
      <c r="A27" s="8" t="s">
        <v>49</v>
      </c>
      <c r="B27" s="8">
        <v>8</v>
      </c>
      <c r="C27" s="8">
        <v>8</v>
      </c>
      <c r="D27" s="8">
        <v>8</v>
      </c>
      <c r="E27" s="8">
        <v>8</v>
      </c>
      <c r="F27" s="8">
        <v>8</v>
      </c>
      <c r="G27" s="8">
        <v>2</v>
      </c>
      <c r="H27" s="8">
        <v>2</v>
      </c>
      <c r="I27" s="8">
        <v>2</v>
      </c>
      <c r="J27" s="8">
        <v>2</v>
      </c>
      <c r="K27" s="8">
        <v>2</v>
      </c>
      <c r="L27" s="8">
        <v>2</v>
      </c>
      <c r="M27" s="8">
        <v>2</v>
      </c>
      <c r="N27" s="8">
        <v>2</v>
      </c>
      <c r="O27" s="8">
        <v>2</v>
      </c>
      <c r="P27" s="8">
        <v>2</v>
      </c>
      <c r="Q27" s="8">
        <v>2</v>
      </c>
      <c r="R27" s="8">
        <v>3</v>
      </c>
      <c r="S27" s="8">
        <v>4</v>
      </c>
      <c r="T27" s="8">
        <v>2</v>
      </c>
      <c r="U27" s="8">
        <v>2</v>
      </c>
      <c r="V27" s="8">
        <v>2.5</v>
      </c>
      <c r="W27" s="8">
        <v>3</v>
      </c>
    </row>
    <row r="28" spans="1:23" x14ac:dyDescent="0.25">
      <c r="A28" s="8" t="s">
        <v>107</v>
      </c>
      <c r="B28" s="8">
        <v>2</v>
      </c>
      <c r="C28" s="8">
        <v>2</v>
      </c>
      <c r="D28" s="8">
        <v>2</v>
      </c>
      <c r="E28" s="8">
        <v>2</v>
      </c>
      <c r="F28" s="8">
        <v>2</v>
      </c>
      <c r="G28" s="8">
        <v>20</v>
      </c>
      <c r="H28" s="8">
        <v>4</v>
      </c>
      <c r="I28" s="8">
        <v>4</v>
      </c>
      <c r="J28" s="8">
        <v>4</v>
      </c>
      <c r="K28" s="8">
        <v>4</v>
      </c>
      <c r="L28" s="8">
        <v>4</v>
      </c>
      <c r="M28" s="8">
        <v>4</v>
      </c>
      <c r="N28" s="8">
        <v>4</v>
      </c>
      <c r="O28" s="8">
        <v>0</v>
      </c>
      <c r="P28" s="8">
        <v>0</v>
      </c>
      <c r="Q28" s="8">
        <v>0</v>
      </c>
      <c r="R28" s="8">
        <v>0</v>
      </c>
      <c r="S28" s="8">
        <v>0</v>
      </c>
      <c r="T28" s="8">
        <v>0</v>
      </c>
      <c r="U28" s="8">
        <v>0</v>
      </c>
      <c r="V28" s="8">
        <v>0</v>
      </c>
      <c r="W28" s="8">
        <v>0</v>
      </c>
    </row>
    <row r="29" spans="1:23" x14ac:dyDescent="0.25">
      <c r="A29" s="21" t="s">
        <v>25</v>
      </c>
      <c r="B29" s="28">
        <v>0</v>
      </c>
      <c r="C29" s="28">
        <v>0</v>
      </c>
      <c r="D29" s="28">
        <v>0</v>
      </c>
      <c r="E29" s="28">
        <v>0</v>
      </c>
      <c r="F29" s="28">
        <v>0</v>
      </c>
      <c r="G29" s="28">
        <v>0</v>
      </c>
      <c r="H29" s="28">
        <v>0</v>
      </c>
      <c r="I29" s="28">
        <v>0</v>
      </c>
      <c r="J29" s="28">
        <v>0</v>
      </c>
      <c r="K29" s="28">
        <v>0</v>
      </c>
      <c r="L29" s="28">
        <v>0</v>
      </c>
      <c r="M29" s="28">
        <v>0</v>
      </c>
      <c r="N29" s="28">
        <v>0</v>
      </c>
      <c r="O29">
        <v>0.3</v>
      </c>
      <c r="P29">
        <v>0.4</v>
      </c>
      <c r="Q29">
        <v>0.3</v>
      </c>
      <c r="R29">
        <v>0.3</v>
      </c>
      <c r="S29">
        <v>0.3</v>
      </c>
      <c r="T29">
        <v>0.4</v>
      </c>
      <c r="U29">
        <v>0.4</v>
      </c>
      <c r="V29">
        <v>0.15</v>
      </c>
      <c r="W29">
        <v>0.15</v>
      </c>
    </row>
    <row r="30" spans="1:23" x14ac:dyDescent="0.25">
      <c r="A30" s="24" t="s">
        <v>13</v>
      </c>
      <c r="B30">
        <v>0.1</v>
      </c>
      <c r="C30">
        <v>0.1</v>
      </c>
      <c r="D30">
        <v>0.1</v>
      </c>
      <c r="E30">
        <v>0.1</v>
      </c>
      <c r="F30">
        <v>0.1</v>
      </c>
      <c r="G30" s="8">
        <v>0.1</v>
      </c>
      <c r="H30">
        <v>0.1</v>
      </c>
      <c r="I30">
        <v>0.1</v>
      </c>
      <c r="J30">
        <v>0.1</v>
      </c>
      <c r="K30">
        <v>0.1</v>
      </c>
      <c r="L30">
        <v>0.1</v>
      </c>
      <c r="M30">
        <v>0.1</v>
      </c>
      <c r="N30">
        <v>0.1</v>
      </c>
      <c r="O30">
        <v>0.2</v>
      </c>
      <c r="P30">
        <v>0.2</v>
      </c>
      <c r="Q30">
        <v>0.3</v>
      </c>
      <c r="R30">
        <v>0.3</v>
      </c>
      <c r="S30">
        <v>0.3</v>
      </c>
      <c r="T30">
        <v>0.3</v>
      </c>
      <c r="U30">
        <v>0.3</v>
      </c>
      <c r="V30">
        <v>0.3</v>
      </c>
      <c r="W30">
        <v>0.3</v>
      </c>
    </row>
    <row r="31" spans="1:23" x14ac:dyDescent="0.25">
      <c r="A31" s="22" t="s">
        <v>47</v>
      </c>
      <c r="B31">
        <v>0.6</v>
      </c>
      <c r="C31">
        <v>0.6</v>
      </c>
      <c r="D31">
        <v>0.6</v>
      </c>
      <c r="E31">
        <v>0.6</v>
      </c>
      <c r="F31">
        <v>0.6</v>
      </c>
      <c r="G31">
        <v>0.6</v>
      </c>
      <c r="H31">
        <v>0.7</v>
      </c>
      <c r="I31">
        <v>0.7</v>
      </c>
      <c r="J31">
        <v>0.7</v>
      </c>
      <c r="K31">
        <v>0.7</v>
      </c>
      <c r="L31">
        <v>0.7</v>
      </c>
      <c r="M31">
        <v>0.7</v>
      </c>
      <c r="N31">
        <v>0.7</v>
      </c>
      <c r="O31">
        <v>0.9</v>
      </c>
      <c r="P31">
        <v>0.9</v>
      </c>
      <c r="Q31">
        <v>0.5</v>
      </c>
      <c r="R31">
        <v>0.8</v>
      </c>
      <c r="S31">
        <v>0.9</v>
      </c>
      <c r="T31">
        <v>0.6</v>
      </c>
      <c r="U31">
        <v>0.6</v>
      </c>
      <c r="V31">
        <v>0.8</v>
      </c>
      <c r="W31">
        <v>0.8</v>
      </c>
    </row>
    <row r="32" spans="1:23" x14ac:dyDescent="0.25">
      <c r="A32" s="32" t="s">
        <v>26</v>
      </c>
      <c r="B32" s="29">
        <v>0.5</v>
      </c>
      <c r="C32" s="29">
        <v>0.5</v>
      </c>
      <c r="D32" s="29">
        <v>0.5</v>
      </c>
      <c r="E32" s="29">
        <v>0.5</v>
      </c>
      <c r="F32" s="29">
        <v>0.5</v>
      </c>
      <c r="G32" s="29">
        <v>1</v>
      </c>
      <c r="H32" s="29">
        <v>1.2</v>
      </c>
      <c r="I32" s="29">
        <v>1.2</v>
      </c>
      <c r="J32" s="29">
        <v>1.2</v>
      </c>
      <c r="K32" s="29">
        <v>1.2</v>
      </c>
      <c r="L32" s="29">
        <v>1.2</v>
      </c>
      <c r="M32" s="29">
        <v>1.2</v>
      </c>
      <c r="N32" s="29">
        <v>1.2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</row>
    <row r="33" spans="1:23" x14ac:dyDescent="0.25">
      <c r="A33" s="33" t="s">
        <v>141</v>
      </c>
      <c r="B33" s="29">
        <v>9.6000000000000014</v>
      </c>
      <c r="C33" s="29">
        <v>9.6000000000000014</v>
      </c>
      <c r="D33" s="29">
        <v>9.6000000000000014</v>
      </c>
      <c r="E33" s="29">
        <v>9.6000000000000014</v>
      </c>
      <c r="F33" s="29">
        <v>9.6000000000000014</v>
      </c>
      <c r="G33" s="31">
        <v>2.25</v>
      </c>
      <c r="H33" s="29">
        <v>2.4000000000000004</v>
      </c>
      <c r="I33" s="29">
        <v>8.4000000000000021</v>
      </c>
      <c r="J33" s="29">
        <v>4.2000000000000011</v>
      </c>
      <c r="K33" s="29">
        <v>13.200000000000003</v>
      </c>
      <c r="L33" s="29">
        <v>3.0000000000000004</v>
      </c>
      <c r="M33" s="29">
        <v>3.0000000000000004</v>
      </c>
      <c r="N33" s="29">
        <v>13.800000000000002</v>
      </c>
      <c r="O33" s="29">
        <v>15.749999999999996</v>
      </c>
      <c r="P33" s="29">
        <v>15.749999999999996</v>
      </c>
      <c r="Q33" s="29">
        <v>14.699999999999998</v>
      </c>
      <c r="R33" s="29">
        <v>52.499999999999993</v>
      </c>
      <c r="S33" s="29">
        <v>52.499999999999993</v>
      </c>
      <c r="T33" s="29">
        <v>40</v>
      </c>
      <c r="U33" s="29">
        <v>60.000000000000007</v>
      </c>
      <c r="V33" s="29">
        <v>60.000000000000007</v>
      </c>
      <c r="W33" s="29">
        <v>60.000000000000007</v>
      </c>
    </row>
    <row r="34" spans="1:23" x14ac:dyDescent="0.25">
      <c r="A34" s="34" t="s">
        <v>23</v>
      </c>
      <c r="B34" s="29">
        <v>0.4</v>
      </c>
      <c r="C34" s="29">
        <v>0.4</v>
      </c>
      <c r="D34" s="29">
        <v>0.4</v>
      </c>
      <c r="E34" s="29">
        <v>0.4</v>
      </c>
      <c r="F34" s="29">
        <v>0.4</v>
      </c>
      <c r="G34" s="31">
        <v>0.1</v>
      </c>
      <c r="H34" s="30">
        <v>0.3</v>
      </c>
      <c r="I34" s="30">
        <v>0.3</v>
      </c>
      <c r="J34" s="30">
        <v>0.3</v>
      </c>
      <c r="K34" s="30">
        <v>0.3</v>
      </c>
      <c r="L34" s="30">
        <v>0.3</v>
      </c>
      <c r="M34" s="30">
        <v>0.3</v>
      </c>
      <c r="N34" s="29">
        <v>0.3</v>
      </c>
      <c r="O34" s="29">
        <v>0.04</v>
      </c>
      <c r="P34" s="29">
        <v>0.02</v>
      </c>
      <c r="Q34" s="29">
        <v>0.02</v>
      </c>
      <c r="R34" s="29">
        <v>0.02</v>
      </c>
      <c r="S34" s="29">
        <v>0.02</v>
      </c>
      <c r="T34" s="29">
        <v>0.04</v>
      </c>
      <c r="U34" s="29">
        <v>0.02</v>
      </c>
      <c r="V34" s="29">
        <v>0.02</v>
      </c>
      <c r="W34" s="29">
        <v>0.02</v>
      </c>
    </row>
    <row r="35" spans="1:23" x14ac:dyDescent="0.25">
      <c r="A35" s="60" t="s">
        <v>24</v>
      </c>
      <c r="B35" s="9">
        <v>0.9</v>
      </c>
      <c r="C35" s="9">
        <v>0.9</v>
      </c>
      <c r="D35" s="9">
        <v>0.9</v>
      </c>
      <c r="E35" s="9">
        <v>0.9</v>
      </c>
      <c r="F35" s="9">
        <v>0.9</v>
      </c>
      <c r="G35" s="9">
        <v>0.7</v>
      </c>
      <c r="H35" s="9">
        <v>0.7</v>
      </c>
      <c r="I35" s="9">
        <v>0.6</v>
      </c>
      <c r="J35" s="9">
        <v>0.7</v>
      </c>
      <c r="K35" s="9">
        <v>0.7</v>
      </c>
      <c r="L35" s="9">
        <v>0.7</v>
      </c>
      <c r="M35" s="9">
        <v>0.6</v>
      </c>
      <c r="N35" s="9">
        <v>0.9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</row>
    <row r="36" spans="1:23" x14ac:dyDescent="0.25">
      <c r="A36" s="63" t="s">
        <v>143</v>
      </c>
      <c r="B36" s="29"/>
      <c r="C36" s="29"/>
      <c r="D36" s="29"/>
      <c r="E36" s="29"/>
      <c r="F36" s="29"/>
      <c r="G36" s="31"/>
      <c r="H36" s="30"/>
      <c r="I36" s="30"/>
      <c r="J36" s="30"/>
      <c r="K36" s="30"/>
      <c r="L36" s="30"/>
      <c r="M36" s="30"/>
      <c r="N36" s="29"/>
      <c r="O36" s="29"/>
      <c r="P36" s="29"/>
      <c r="Q36" s="29"/>
      <c r="R36" s="29"/>
      <c r="S36" s="29"/>
      <c r="T36" s="29"/>
      <c r="U36" s="29"/>
      <c r="V36" s="29"/>
      <c r="W36" s="29"/>
    </row>
    <row r="37" spans="1:23" x14ac:dyDescent="0.25">
      <c r="A37" s="35" t="s">
        <v>16</v>
      </c>
      <c r="B37" s="1">
        <v>5</v>
      </c>
      <c r="C37" s="1">
        <v>10</v>
      </c>
      <c r="D37" s="1">
        <v>15</v>
      </c>
      <c r="E37" s="1">
        <v>20</v>
      </c>
      <c r="F37" s="1">
        <v>25</v>
      </c>
      <c r="G37" s="9">
        <v>20</v>
      </c>
      <c r="H37" s="1">
        <v>24</v>
      </c>
      <c r="I37" s="1">
        <v>8</v>
      </c>
      <c r="J37" s="1">
        <v>20</v>
      </c>
      <c r="K37" s="1">
        <v>8</v>
      </c>
      <c r="L37" s="1">
        <v>28</v>
      </c>
      <c r="M37" s="1">
        <v>25</v>
      </c>
      <c r="N37" s="1">
        <v>-14</v>
      </c>
      <c r="O37" s="7">
        <v>15</v>
      </c>
      <c r="P37" s="7">
        <v>15</v>
      </c>
      <c r="Q37" s="7">
        <v>15</v>
      </c>
      <c r="R37" s="7">
        <v>0</v>
      </c>
      <c r="S37" s="7">
        <v>0</v>
      </c>
      <c r="T37" s="7">
        <v>15</v>
      </c>
      <c r="U37" s="7">
        <v>0</v>
      </c>
      <c r="V37" s="7">
        <v>0</v>
      </c>
      <c r="W37" s="7">
        <v>0</v>
      </c>
    </row>
    <row r="38" spans="1:23" x14ac:dyDescent="0.25">
      <c r="A38" s="36" t="s">
        <v>20</v>
      </c>
      <c r="B38" s="1">
        <v>8</v>
      </c>
      <c r="C38" s="1">
        <v>8</v>
      </c>
      <c r="D38" s="1">
        <v>8</v>
      </c>
      <c r="E38" s="1">
        <v>8</v>
      </c>
      <c r="F38" s="1">
        <v>8</v>
      </c>
      <c r="G38" s="9">
        <v>10</v>
      </c>
      <c r="H38" s="1">
        <v>4</v>
      </c>
      <c r="I38" s="1">
        <v>14</v>
      </c>
      <c r="J38" s="1">
        <v>7</v>
      </c>
      <c r="K38" s="1">
        <v>22</v>
      </c>
      <c r="L38" s="1">
        <v>5</v>
      </c>
      <c r="M38" s="1">
        <v>5</v>
      </c>
      <c r="N38" s="1">
        <v>23</v>
      </c>
      <c r="O38" s="7">
        <v>15</v>
      </c>
      <c r="P38" s="7">
        <v>15</v>
      </c>
      <c r="Q38" s="7">
        <v>14</v>
      </c>
      <c r="R38" s="7">
        <v>50</v>
      </c>
      <c r="S38" s="7">
        <v>50</v>
      </c>
      <c r="T38" s="7">
        <v>15</v>
      </c>
      <c r="U38" s="7">
        <v>50</v>
      </c>
      <c r="V38" s="7">
        <v>50</v>
      </c>
      <c r="W38" s="7">
        <v>50</v>
      </c>
    </row>
    <row r="39" spans="1:23" x14ac:dyDescent="0.25">
      <c r="A39" s="3" t="s">
        <v>1</v>
      </c>
      <c r="B39" s="4"/>
      <c r="C39" s="4"/>
      <c r="D39" s="4"/>
      <c r="E39" s="4"/>
      <c r="F39" s="4"/>
      <c r="G39" s="13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</row>
    <row r="40" spans="1:23" x14ac:dyDescent="0.25">
      <c r="A40" s="6"/>
      <c r="H40" t="s">
        <v>134</v>
      </c>
      <c r="I40" t="s">
        <v>135</v>
      </c>
      <c r="J40" t="s">
        <v>136</v>
      </c>
      <c r="K40" t="s">
        <v>137</v>
      </c>
      <c r="L40" t="s">
        <v>138</v>
      </c>
      <c r="M40" t="s">
        <v>139</v>
      </c>
      <c r="N40" t="s">
        <v>140</v>
      </c>
    </row>
    <row r="41" spans="1:23" ht="63" customHeight="1" x14ac:dyDescent="0.25">
      <c r="A41" s="6"/>
    </row>
    <row r="42" spans="1:23" x14ac:dyDescent="0.25">
      <c r="A42" s="6"/>
      <c r="W42" s="6" t="s">
        <v>144</v>
      </c>
    </row>
    <row r="43" spans="1:23" x14ac:dyDescent="0.25">
      <c r="A43" s="6"/>
    </row>
    <row r="44" spans="1:23" x14ac:dyDescent="0.25">
      <c r="A44" s="6"/>
      <c r="G44" s="6"/>
    </row>
    <row r="45" spans="1:23" s="5" customFormat="1" x14ac:dyDescent="0.25">
      <c r="A45" s="5" t="s">
        <v>22</v>
      </c>
      <c r="F45" s="14"/>
      <c r="G45" s="14"/>
      <c r="H45" s="14"/>
      <c r="I45" s="14"/>
      <c r="J45" s="14"/>
      <c r="K45" s="14"/>
      <c r="L45" s="14"/>
      <c r="M45" s="14"/>
      <c r="N45" s="14"/>
    </row>
    <row r="46" spans="1:23" x14ac:dyDescent="0.25">
      <c r="G46" s="6"/>
    </row>
    <row r="47" spans="1:23" x14ac:dyDescent="0.25">
      <c r="A47" t="s">
        <v>46</v>
      </c>
      <c r="B47" s="25" t="str">
        <f t="shared" ref="B47:W47" si="0">+B5</f>
        <v>PRODUCER</v>
      </c>
      <c r="C47" s="25" t="str">
        <f t="shared" si="0"/>
        <v>PRODUCER</v>
      </c>
      <c r="D47" s="25" t="str">
        <f t="shared" si="0"/>
        <v>PRODUCER</v>
      </c>
      <c r="E47" s="25" t="str">
        <f t="shared" si="0"/>
        <v>PRODUCER</v>
      </c>
      <c r="F47" s="25" t="str">
        <f t="shared" si="0"/>
        <v>PRODUCER</v>
      </c>
      <c r="G47" s="25" t="str">
        <f t="shared" si="0"/>
        <v>PRODUCER</v>
      </c>
      <c r="H47" s="25" t="str">
        <f t="shared" si="0"/>
        <v>PRODUCER</v>
      </c>
      <c r="I47" s="25" t="str">
        <f t="shared" si="0"/>
        <v>PRODUCER</v>
      </c>
      <c r="J47" s="25" t="str">
        <f t="shared" si="0"/>
        <v>PRODUCER</v>
      </c>
      <c r="K47" s="25" t="str">
        <f t="shared" si="0"/>
        <v>PRODUCER</v>
      </c>
      <c r="L47" s="25" t="str">
        <f t="shared" si="0"/>
        <v>PRODUCER</v>
      </c>
      <c r="M47" s="25" t="str">
        <f t="shared" si="0"/>
        <v>PRODUCER</v>
      </c>
      <c r="N47" s="25" t="str">
        <f t="shared" si="0"/>
        <v>PRODUCER</v>
      </c>
      <c r="O47" s="26" t="str">
        <f t="shared" si="0"/>
        <v>PRIMARY</v>
      </c>
      <c r="P47" s="26" t="str">
        <f t="shared" si="0"/>
        <v>PRIMARY</v>
      </c>
      <c r="Q47" s="26" t="str">
        <f t="shared" si="0"/>
        <v>PRIMARY</v>
      </c>
      <c r="R47" s="26" t="str">
        <f t="shared" si="0"/>
        <v>PRIMARY</v>
      </c>
      <c r="S47" s="26" t="str">
        <f t="shared" si="0"/>
        <v>PRIMARY</v>
      </c>
      <c r="T47" s="27" t="str">
        <f t="shared" si="0"/>
        <v>SECONDARY</v>
      </c>
      <c r="U47" s="27" t="str">
        <f t="shared" si="0"/>
        <v>SECONDARY</v>
      </c>
      <c r="V47" s="27" t="str">
        <f t="shared" si="0"/>
        <v>SECONDARY</v>
      </c>
      <c r="W47" s="27" t="str">
        <f t="shared" si="0"/>
        <v>SECONDARY</v>
      </c>
    </row>
    <row r="48" spans="1:23" x14ac:dyDescent="0.25">
      <c r="A48" t="s">
        <v>19</v>
      </c>
      <c r="B48" s="15">
        <f t="shared" ref="B48:N48" si="1">+B34/B33/$B$2/$B$3</f>
        <v>2.3148148148148147E-3</v>
      </c>
      <c r="C48" s="15">
        <f t="shared" si="1"/>
        <v>2.3148148148148147E-3</v>
      </c>
      <c r="D48" s="15">
        <f t="shared" si="1"/>
        <v>2.3148148148148147E-3</v>
      </c>
      <c r="E48" s="15">
        <f t="shared" si="1"/>
        <v>2.3148148148148147E-3</v>
      </c>
      <c r="F48" s="15">
        <f t="shared" si="1"/>
        <v>2.3148148148148147E-3</v>
      </c>
      <c r="G48" s="15">
        <f t="shared" si="1"/>
        <v>2.4691358024691358E-3</v>
      </c>
      <c r="H48" s="15">
        <f t="shared" si="1"/>
        <v>6.9444444444444423E-3</v>
      </c>
      <c r="I48" s="15">
        <f t="shared" si="1"/>
        <v>1.9841269841269836E-3</v>
      </c>
      <c r="J48" s="15">
        <f t="shared" si="1"/>
        <v>3.9682539682539672E-3</v>
      </c>
      <c r="K48" s="15">
        <f t="shared" si="1"/>
        <v>1.2626262626262623E-3</v>
      </c>
      <c r="L48" s="15">
        <f t="shared" si="1"/>
        <v>5.555555555555554E-3</v>
      </c>
      <c r="M48" s="15">
        <f t="shared" si="1"/>
        <v>5.555555555555554E-3</v>
      </c>
      <c r="N48" s="15">
        <f t="shared" si="1"/>
        <v>1.2077294685990335E-3</v>
      </c>
      <c r="O48" s="47">
        <f t="shared" ref="O48:W48" si="2">+O29</f>
        <v>0.3</v>
      </c>
      <c r="P48" s="47">
        <f t="shared" si="2"/>
        <v>0.4</v>
      </c>
      <c r="Q48" s="47">
        <f t="shared" si="2"/>
        <v>0.3</v>
      </c>
      <c r="R48" s="47">
        <f t="shared" si="2"/>
        <v>0.3</v>
      </c>
      <c r="S48" s="47">
        <f t="shared" si="2"/>
        <v>0.3</v>
      </c>
      <c r="T48" s="47">
        <f t="shared" si="2"/>
        <v>0.4</v>
      </c>
      <c r="U48" s="47">
        <f t="shared" si="2"/>
        <v>0.4</v>
      </c>
      <c r="V48" s="47">
        <f t="shared" si="2"/>
        <v>0.15</v>
      </c>
      <c r="W48" s="47">
        <f t="shared" si="2"/>
        <v>0.15</v>
      </c>
    </row>
    <row r="49" spans="1:23" x14ac:dyDescent="0.25">
      <c r="G49" s="6"/>
    </row>
    <row r="50" spans="1:23" x14ac:dyDescent="0.25">
      <c r="A50" t="s">
        <v>58</v>
      </c>
      <c r="B50">
        <v>1</v>
      </c>
      <c r="C50">
        <v>1</v>
      </c>
      <c r="D50">
        <v>1</v>
      </c>
      <c r="E50">
        <v>1</v>
      </c>
      <c r="F50">
        <v>1</v>
      </c>
      <c r="G50" s="46">
        <v>1</v>
      </c>
      <c r="H50">
        <v>1</v>
      </c>
      <c r="I50">
        <v>1</v>
      </c>
      <c r="J50">
        <v>1</v>
      </c>
      <c r="K50">
        <v>1</v>
      </c>
      <c r="L50">
        <v>1</v>
      </c>
      <c r="M50">
        <v>1</v>
      </c>
      <c r="N50">
        <v>1</v>
      </c>
      <c r="O50">
        <v>10</v>
      </c>
      <c r="P50">
        <v>10</v>
      </c>
      <c r="Q50">
        <v>10</v>
      </c>
      <c r="R50">
        <v>10</v>
      </c>
      <c r="S50">
        <v>10</v>
      </c>
      <c r="T50">
        <v>10</v>
      </c>
      <c r="U50">
        <v>10</v>
      </c>
      <c r="V50">
        <v>10</v>
      </c>
      <c r="W50">
        <v>10</v>
      </c>
    </row>
    <row r="51" spans="1:23" x14ac:dyDescent="0.25">
      <c r="A51" t="s">
        <v>60</v>
      </c>
      <c r="B51" s="18">
        <f t="shared" ref="B51:N51" si="3">+B48*B26*$B$3*$B$2*B32</f>
        <v>8.3333333333333321</v>
      </c>
      <c r="C51" s="18">
        <f t="shared" si="3"/>
        <v>8.3333333333333321</v>
      </c>
      <c r="D51" s="18">
        <f t="shared" si="3"/>
        <v>8.3333333333333321</v>
      </c>
      <c r="E51" s="18">
        <f t="shared" si="3"/>
        <v>8.3333333333333321</v>
      </c>
      <c r="F51" s="18">
        <f t="shared" si="3"/>
        <v>8.3333333333333321</v>
      </c>
      <c r="G51" s="18">
        <f t="shared" si="3"/>
        <v>22.222222222222221</v>
      </c>
      <c r="H51" s="18">
        <f t="shared" si="3"/>
        <v>0.89999999999999969</v>
      </c>
      <c r="I51" s="18">
        <f t="shared" si="3"/>
        <v>0.25714285714285706</v>
      </c>
      <c r="J51" s="18">
        <f t="shared" si="3"/>
        <v>0.51428571428571412</v>
      </c>
      <c r="K51" s="18">
        <f t="shared" si="3"/>
        <v>0.16363636363636361</v>
      </c>
      <c r="L51" s="18">
        <f t="shared" si="3"/>
        <v>0.71999999999999986</v>
      </c>
      <c r="M51" s="18">
        <f t="shared" si="3"/>
        <v>0.71999999999999986</v>
      </c>
      <c r="N51" s="18">
        <f t="shared" si="3"/>
        <v>0.2608695652173913</v>
      </c>
      <c r="O51" s="41">
        <f t="shared" ref="O51:W51" si="4">+O48*O26</f>
        <v>0.3</v>
      </c>
      <c r="P51" s="41">
        <f t="shared" si="4"/>
        <v>1.2000000000000002</v>
      </c>
      <c r="Q51" s="41">
        <f t="shared" si="4"/>
        <v>1.7999999999999998</v>
      </c>
      <c r="R51" s="41">
        <f t="shared" si="4"/>
        <v>3.5999999999999996</v>
      </c>
      <c r="S51" s="41">
        <f t="shared" si="4"/>
        <v>7.1999999999999993</v>
      </c>
      <c r="T51" s="41">
        <f t="shared" si="4"/>
        <v>2.4000000000000004</v>
      </c>
      <c r="U51" s="41">
        <f t="shared" si="4"/>
        <v>10</v>
      </c>
      <c r="V51" s="41">
        <f t="shared" si="4"/>
        <v>7.5</v>
      </c>
      <c r="W51" s="41">
        <f t="shared" si="4"/>
        <v>15</v>
      </c>
    </row>
    <row r="52" spans="1:23" x14ac:dyDescent="0.25">
      <c r="A52" t="s">
        <v>40</v>
      </c>
      <c r="B52" s="42">
        <f t="shared" ref="B52:W52" si="5">+B51*B33/B50</f>
        <v>80</v>
      </c>
      <c r="C52" s="42">
        <f t="shared" si="5"/>
        <v>80</v>
      </c>
      <c r="D52" s="42">
        <f t="shared" si="5"/>
        <v>80</v>
      </c>
      <c r="E52" s="42">
        <f t="shared" si="5"/>
        <v>80</v>
      </c>
      <c r="F52" s="44">
        <f t="shared" si="5"/>
        <v>80</v>
      </c>
      <c r="G52" s="44">
        <f t="shared" si="5"/>
        <v>50</v>
      </c>
      <c r="H52" s="44">
        <f t="shared" si="5"/>
        <v>2.1599999999999997</v>
      </c>
      <c r="I52" s="44">
        <f t="shared" si="5"/>
        <v>2.1599999999999997</v>
      </c>
      <c r="J52" s="44">
        <f t="shared" si="5"/>
        <v>2.1599999999999997</v>
      </c>
      <c r="K52" s="44">
        <f t="shared" si="5"/>
        <v>2.16</v>
      </c>
      <c r="L52" s="44">
        <f t="shared" si="5"/>
        <v>2.1599999999999997</v>
      </c>
      <c r="M52" s="44">
        <f t="shared" si="5"/>
        <v>2.1599999999999997</v>
      </c>
      <c r="N52" s="44">
        <f t="shared" si="5"/>
        <v>3.6000000000000005</v>
      </c>
      <c r="O52" s="44">
        <f t="shared" si="5"/>
        <v>0.47249999999999986</v>
      </c>
      <c r="P52" s="44">
        <f t="shared" si="5"/>
        <v>1.89</v>
      </c>
      <c r="Q52" s="44">
        <f t="shared" si="5"/>
        <v>2.6459999999999995</v>
      </c>
      <c r="R52" s="44">
        <f t="shared" si="5"/>
        <v>18.899999999999995</v>
      </c>
      <c r="S52" s="44">
        <f t="shared" si="5"/>
        <v>37.79999999999999</v>
      </c>
      <c r="T52" s="44">
        <f t="shared" si="5"/>
        <v>9.6000000000000014</v>
      </c>
      <c r="U52" s="44">
        <f t="shared" si="5"/>
        <v>60.000000000000014</v>
      </c>
      <c r="V52" s="44">
        <f t="shared" si="5"/>
        <v>45.000000000000007</v>
      </c>
      <c r="W52" s="44">
        <f t="shared" si="5"/>
        <v>90.000000000000014</v>
      </c>
    </row>
    <row r="53" spans="1:23" x14ac:dyDescent="0.25">
      <c r="A53" t="s">
        <v>59</v>
      </c>
      <c r="B53" s="44">
        <f t="shared" ref="B53:N53" si="6">+B34*B26*(1-B48)/B50</f>
        <v>159.62962962962965</v>
      </c>
      <c r="C53" s="44">
        <f t="shared" si="6"/>
        <v>159.62962962962965</v>
      </c>
      <c r="D53" s="44">
        <f t="shared" si="6"/>
        <v>159.62962962962965</v>
      </c>
      <c r="E53" s="44">
        <f t="shared" si="6"/>
        <v>159.62962962962965</v>
      </c>
      <c r="F53" s="44">
        <f t="shared" si="6"/>
        <v>159.62962962962965</v>
      </c>
      <c r="G53" s="44">
        <f t="shared" si="6"/>
        <v>49.876543209876544</v>
      </c>
      <c r="H53" s="44">
        <f t="shared" si="6"/>
        <v>1.7874999999999999</v>
      </c>
      <c r="I53" s="44">
        <f t="shared" si="6"/>
        <v>1.7964285714285713</v>
      </c>
      <c r="J53" s="44">
        <f t="shared" si="6"/>
        <v>1.7928571428571427</v>
      </c>
      <c r="K53" s="44">
        <f t="shared" si="6"/>
        <v>1.7977272727272724</v>
      </c>
      <c r="L53" s="44">
        <f t="shared" si="6"/>
        <v>1.7899999999999998</v>
      </c>
      <c r="M53" s="44">
        <f t="shared" si="6"/>
        <v>1.7899999999999998</v>
      </c>
      <c r="N53" s="44">
        <f t="shared" si="6"/>
        <v>2.9963768115942031</v>
      </c>
      <c r="O53" s="44">
        <f t="shared" ref="O53:W53" si="7">+O34*O26*(1-O29)/O50</f>
        <v>2.7999999999999995E-3</v>
      </c>
      <c r="P53" s="44">
        <f t="shared" si="7"/>
        <v>3.5999999999999999E-3</v>
      </c>
      <c r="Q53" s="44">
        <f t="shared" si="7"/>
        <v>8.3999999999999995E-3</v>
      </c>
      <c r="R53" s="44">
        <f t="shared" si="7"/>
        <v>1.6799999999999999E-2</v>
      </c>
      <c r="S53" s="44">
        <f t="shared" si="7"/>
        <v>3.3599999999999998E-2</v>
      </c>
      <c r="T53" s="44">
        <f t="shared" si="7"/>
        <v>1.44E-2</v>
      </c>
      <c r="U53" s="44">
        <f t="shared" si="7"/>
        <v>0.03</v>
      </c>
      <c r="V53" s="44">
        <f t="shared" si="7"/>
        <v>8.4999999999999992E-2</v>
      </c>
      <c r="W53" s="44">
        <f t="shared" si="7"/>
        <v>0.16999999999999998</v>
      </c>
    </row>
    <row r="54" spans="1:23" x14ac:dyDescent="0.25">
      <c r="A54" t="s">
        <v>66</v>
      </c>
      <c r="B54" s="42">
        <f>+B52-B53</f>
        <v>-79.629629629629648</v>
      </c>
      <c r="C54" s="42">
        <f>+C52-C53</f>
        <v>-79.629629629629648</v>
      </c>
      <c r="D54" s="42">
        <f t="shared" ref="D54:T54" si="8">+D52-D53</f>
        <v>-79.629629629629648</v>
      </c>
      <c r="E54" s="42">
        <f t="shared" si="8"/>
        <v>-79.629629629629648</v>
      </c>
      <c r="F54" s="44">
        <f t="shared" si="8"/>
        <v>-79.629629629629648</v>
      </c>
      <c r="G54" s="44">
        <f t="shared" si="8"/>
        <v>0.12345679012345556</v>
      </c>
      <c r="H54" s="44">
        <f t="shared" si="8"/>
        <v>0.37249999999999983</v>
      </c>
      <c r="I54" s="44">
        <f t="shared" ref="I54" si="9">+I52-I53</f>
        <v>0.36357142857142843</v>
      </c>
      <c r="J54" s="44">
        <f t="shared" si="8"/>
        <v>0.36714285714285699</v>
      </c>
      <c r="K54" s="44">
        <f t="shared" si="8"/>
        <v>0.36227272727272775</v>
      </c>
      <c r="L54" s="44">
        <f t="shared" si="8"/>
        <v>0.36999999999999988</v>
      </c>
      <c r="M54" s="44">
        <f>+M52-M53</f>
        <v>0.36999999999999988</v>
      </c>
      <c r="N54" s="44">
        <f t="shared" si="8"/>
        <v>0.60362318840579743</v>
      </c>
      <c r="O54" s="44">
        <f t="shared" si="8"/>
        <v>0.46969999999999984</v>
      </c>
      <c r="P54" s="44">
        <f t="shared" si="8"/>
        <v>1.8863999999999999</v>
      </c>
      <c r="Q54" s="44">
        <f t="shared" si="8"/>
        <v>2.6375999999999995</v>
      </c>
      <c r="R54" s="44">
        <f>+R52-R53</f>
        <v>18.883199999999995</v>
      </c>
      <c r="S54" s="44">
        <f>+S52-S53</f>
        <v>37.76639999999999</v>
      </c>
      <c r="T54" s="44">
        <f t="shared" si="8"/>
        <v>9.5856000000000012</v>
      </c>
      <c r="U54" s="44">
        <f t="shared" ref="U54" si="10">+U52-U53</f>
        <v>59.970000000000013</v>
      </c>
      <c r="V54" s="44">
        <f t="shared" ref="V54:W54" si="11">+V52-V53</f>
        <v>44.915000000000006</v>
      </c>
      <c r="W54" s="44">
        <f t="shared" si="11"/>
        <v>89.830000000000013</v>
      </c>
    </row>
    <row r="55" spans="1:23" x14ac:dyDescent="0.25">
      <c r="B55" s="42"/>
      <c r="C55" s="42"/>
      <c r="D55" s="42"/>
      <c r="E55" s="42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</row>
    <row r="56" spans="1:23" x14ac:dyDescent="0.25">
      <c r="A56" t="s">
        <v>63</v>
      </c>
      <c r="B56" s="43">
        <f t="shared" ref="B56:W56" si="12">+B54/B26</f>
        <v>-0.19907407407407413</v>
      </c>
      <c r="C56" s="43">
        <f t="shared" si="12"/>
        <v>-0.19907407407407413</v>
      </c>
      <c r="D56" s="43">
        <f t="shared" si="12"/>
        <v>-0.19907407407407413</v>
      </c>
      <c r="E56" s="43">
        <f t="shared" si="12"/>
        <v>-0.19907407407407413</v>
      </c>
      <c r="F56" s="45">
        <f t="shared" si="12"/>
        <v>-0.19907407407407413</v>
      </c>
      <c r="G56" s="45">
        <f t="shared" si="12"/>
        <v>2.4691358024691115E-4</v>
      </c>
      <c r="H56" s="45">
        <f t="shared" si="12"/>
        <v>6.2083333333333303E-2</v>
      </c>
      <c r="I56" s="45">
        <f t="shared" si="12"/>
        <v>6.059523809523807E-2</v>
      </c>
      <c r="J56" s="45">
        <f t="shared" si="12"/>
        <v>6.1190476190476163E-2</v>
      </c>
      <c r="K56" s="45">
        <f t="shared" si="12"/>
        <v>6.0378787878787955E-2</v>
      </c>
      <c r="L56" s="45">
        <f t="shared" si="12"/>
        <v>6.1666666666666647E-2</v>
      </c>
      <c r="M56" s="45">
        <f t="shared" si="12"/>
        <v>6.1666666666666647E-2</v>
      </c>
      <c r="N56" s="45">
        <f t="shared" si="12"/>
        <v>6.0362318840579743E-2</v>
      </c>
      <c r="O56" s="45">
        <f t="shared" si="12"/>
        <v>0.46969999999999984</v>
      </c>
      <c r="P56" s="45">
        <f t="shared" si="12"/>
        <v>0.62879999999999991</v>
      </c>
      <c r="Q56" s="45">
        <f t="shared" si="12"/>
        <v>0.43959999999999994</v>
      </c>
      <c r="R56" s="45">
        <f t="shared" si="12"/>
        <v>1.5735999999999997</v>
      </c>
      <c r="S56" s="45">
        <f t="shared" si="12"/>
        <v>1.5735999999999997</v>
      </c>
      <c r="T56" s="45">
        <f t="shared" si="12"/>
        <v>1.5976000000000001</v>
      </c>
      <c r="U56" s="45">
        <f t="shared" si="12"/>
        <v>2.3988000000000005</v>
      </c>
      <c r="V56" s="45">
        <f t="shared" si="12"/>
        <v>0.8983000000000001</v>
      </c>
      <c r="W56" s="45">
        <f t="shared" si="12"/>
        <v>0.8983000000000001</v>
      </c>
    </row>
    <row r="57" spans="1:23" x14ac:dyDescent="0.25">
      <c r="A57" t="s">
        <v>64</v>
      </c>
      <c r="B57" s="42">
        <f t="shared" ref="B57:W57" si="13">+B26*B31/B53</f>
        <v>1.5034802784222736</v>
      </c>
      <c r="C57" s="42">
        <f t="shared" si="13"/>
        <v>1.5034802784222736</v>
      </c>
      <c r="D57" s="42">
        <f t="shared" si="13"/>
        <v>1.5034802784222736</v>
      </c>
      <c r="E57" s="42">
        <f t="shared" si="13"/>
        <v>1.5034802784222736</v>
      </c>
      <c r="F57" s="44">
        <f t="shared" si="13"/>
        <v>1.5034802784222736</v>
      </c>
      <c r="G57" s="44">
        <f t="shared" si="13"/>
        <v>6.0148514851485144</v>
      </c>
      <c r="H57" s="44">
        <f t="shared" si="13"/>
        <v>2.3496503496503496</v>
      </c>
      <c r="I57" s="44">
        <f t="shared" si="13"/>
        <v>2.3379721669980116</v>
      </c>
      <c r="J57" s="44">
        <f t="shared" si="13"/>
        <v>2.3426294820717128</v>
      </c>
      <c r="K57" s="44">
        <f t="shared" si="13"/>
        <v>2.336283185840708</v>
      </c>
      <c r="L57" s="44">
        <f t="shared" si="13"/>
        <v>2.3463687150837989</v>
      </c>
      <c r="M57" s="44">
        <f t="shared" si="13"/>
        <v>2.3463687150837989</v>
      </c>
      <c r="N57" s="44">
        <f t="shared" si="13"/>
        <v>2.3361547762998791</v>
      </c>
      <c r="O57" s="44">
        <f t="shared" si="13"/>
        <v>321.4285714285715</v>
      </c>
      <c r="P57" s="44">
        <f t="shared" si="13"/>
        <v>750.00000000000011</v>
      </c>
      <c r="Q57" s="44">
        <f t="shared" si="13"/>
        <v>357.14285714285717</v>
      </c>
      <c r="R57" s="44">
        <f t="shared" si="13"/>
        <v>571.42857142857156</v>
      </c>
      <c r="S57" s="44">
        <f t="shared" si="13"/>
        <v>642.85714285714289</v>
      </c>
      <c r="T57" s="44">
        <f t="shared" si="13"/>
        <v>249.99999999999997</v>
      </c>
      <c r="U57" s="44">
        <f t="shared" si="13"/>
        <v>500</v>
      </c>
      <c r="V57" s="44">
        <f t="shared" si="13"/>
        <v>470.58823529411768</v>
      </c>
      <c r="W57" s="44">
        <f t="shared" si="13"/>
        <v>470.58823529411768</v>
      </c>
    </row>
    <row r="58" spans="1:23" x14ac:dyDescent="0.25">
      <c r="A58" t="s">
        <v>65</v>
      </c>
      <c r="B58" s="42">
        <f t="shared" ref="B58:W58" si="14">+B26</f>
        <v>400</v>
      </c>
      <c r="C58" s="42">
        <f t="shared" si="14"/>
        <v>400</v>
      </c>
      <c r="D58" s="42">
        <f t="shared" si="14"/>
        <v>400</v>
      </c>
      <c r="E58" s="42">
        <f t="shared" si="14"/>
        <v>400</v>
      </c>
      <c r="F58" s="44">
        <f t="shared" si="14"/>
        <v>400</v>
      </c>
      <c r="G58" s="44">
        <f t="shared" si="14"/>
        <v>500</v>
      </c>
      <c r="H58" s="44">
        <f t="shared" si="14"/>
        <v>6</v>
      </c>
      <c r="I58" s="44">
        <f t="shared" si="14"/>
        <v>6</v>
      </c>
      <c r="J58" s="44">
        <f t="shared" si="14"/>
        <v>6</v>
      </c>
      <c r="K58" s="44">
        <f t="shared" si="14"/>
        <v>6</v>
      </c>
      <c r="L58" s="44">
        <f t="shared" si="14"/>
        <v>6</v>
      </c>
      <c r="M58" s="44">
        <f t="shared" si="14"/>
        <v>6</v>
      </c>
      <c r="N58" s="44">
        <f t="shared" si="14"/>
        <v>10</v>
      </c>
      <c r="O58" s="44">
        <f t="shared" si="14"/>
        <v>1</v>
      </c>
      <c r="P58" s="44">
        <f t="shared" si="14"/>
        <v>3</v>
      </c>
      <c r="Q58" s="44">
        <f t="shared" si="14"/>
        <v>6</v>
      </c>
      <c r="R58" s="44">
        <f t="shared" si="14"/>
        <v>12</v>
      </c>
      <c r="S58" s="44">
        <f t="shared" si="14"/>
        <v>24</v>
      </c>
      <c r="T58" s="44">
        <f t="shared" si="14"/>
        <v>6</v>
      </c>
      <c r="U58" s="44">
        <f t="shared" si="14"/>
        <v>25</v>
      </c>
      <c r="V58" s="44">
        <f t="shared" si="14"/>
        <v>50</v>
      </c>
      <c r="W58" s="44">
        <f t="shared" si="14"/>
        <v>100</v>
      </c>
    </row>
    <row r="59" spans="1:23" x14ac:dyDescent="0.25">
      <c r="A59" t="s">
        <v>56</v>
      </c>
      <c r="B59" s="42">
        <f t="shared" ref="B59:W59" si="15">B58*B30/B20</f>
        <v>40</v>
      </c>
      <c r="C59" s="42">
        <f t="shared" si="15"/>
        <v>40</v>
      </c>
      <c r="D59" s="42">
        <f t="shared" si="15"/>
        <v>40</v>
      </c>
      <c r="E59" s="42">
        <f t="shared" si="15"/>
        <v>40</v>
      </c>
      <c r="F59" s="44">
        <f t="shared" si="15"/>
        <v>40</v>
      </c>
      <c r="G59" s="44">
        <f t="shared" si="15"/>
        <v>12.5</v>
      </c>
      <c r="H59" s="44">
        <f t="shared" si="15"/>
        <v>0.30000000000000004</v>
      </c>
      <c r="I59" s="44">
        <f t="shared" si="15"/>
        <v>0.30000000000000004</v>
      </c>
      <c r="J59" s="44">
        <f t="shared" si="15"/>
        <v>0.30000000000000004</v>
      </c>
      <c r="K59" s="44">
        <f t="shared" si="15"/>
        <v>0.20000000000000004</v>
      </c>
      <c r="L59" s="44">
        <f t="shared" si="15"/>
        <v>0.30000000000000004</v>
      </c>
      <c r="M59" s="44">
        <f t="shared" si="15"/>
        <v>0.60000000000000009</v>
      </c>
      <c r="N59" s="44">
        <f t="shared" si="15"/>
        <v>0.25</v>
      </c>
      <c r="O59" s="44">
        <f t="shared" si="15"/>
        <v>0.2</v>
      </c>
      <c r="P59" s="44">
        <f t="shared" si="15"/>
        <v>0.20000000000000004</v>
      </c>
      <c r="Q59" s="44">
        <f t="shared" si="15"/>
        <v>0.89999999999999991</v>
      </c>
      <c r="R59" s="44">
        <f t="shared" si="15"/>
        <v>1.7999999999999998</v>
      </c>
      <c r="S59" s="44">
        <f t="shared" si="15"/>
        <v>7.1999999999999993</v>
      </c>
      <c r="T59" s="44">
        <f t="shared" si="15"/>
        <v>1.7999999999999998</v>
      </c>
      <c r="U59" s="44">
        <f t="shared" si="15"/>
        <v>3.75</v>
      </c>
      <c r="V59" s="44">
        <f t="shared" si="15"/>
        <v>15</v>
      </c>
      <c r="W59" s="44">
        <f t="shared" si="15"/>
        <v>30</v>
      </c>
    </row>
    <row r="60" spans="1:23" x14ac:dyDescent="0.25">
      <c r="A60" t="s">
        <v>67</v>
      </c>
      <c r="B60" s="42">
        <f t="shared" ref="B60:Q60" si="16">+(B58-B59)/B54</f>
        <v>-4.5209302325581389</v>
      </c>
      <c r="C60" s="42">
        <f t="shared" ref="C60" si="17">+(C58-C59)/C54</f>
        <v>-4.5209302325581389</v>
      </c>
      <c r="D60" s="42">
        <f t="shared" si="16"/>
        <v>-4.5209302325581389</v>
      </c>
      <c r="E60" s="42">
        <f t="shared" si="16"/>
        <v>-4.5209302325581389</v>
      </c>
      <c r="F60" s="42">
        <f t="shared" si="16"/>
        <v>-4.5209302325581389</v>
      </c>
      <c r="G60" s="42">
        <f t="shared" si="16"/>
        <v>3948.7500000000391</v>
      </c>
      <c r="H60" s="42">
        <f t="shared" si="16"/>
        <v>15.302013422818799</v>
      </c>
      <c r="I60" s="42">
        <f t="shared" ref="I60" si="18">+(I58-I59)/I54</f>
        <v>15.677799607072698</v>
      </c>
      <c r="J60" s="42">
        <f t="shared" si="16"/>
        <v>15.525291828793781</v>
      </c>
      <c r="K60" s="42">
        <f t="shared" si="16"/>
        <v>16.010037641154309</v>
      </c>
      <c r="L60" s="42">
        <f t="shared" si="16"/>
        <v>15.405405405405411</v>
      </c>
      <c r="M60" s="42">
        <f>+(M58-M59)/M54</f>
        <v>14.5945945945946</v>
      </c>
      <c r="N60" s="42">
        <f t="shared" si="16"/>
        <v>16.152460984393748</v>
      </c>
      <c r="O60" s="42">
        <f t="shared" si="16"/>
        <v>1.703214817968917</v>
      </c>
      <c r="P60" s="42">
        <f t="shared" si="16"/>
        <v>1.4843087362171332</v>
      </c>
      <c r="Q60" s="42">
        <f t="shared" si="16"/>
        <v>1.9335759781619657</v>
      </c>
      <c r="R60" s="42">
        <f>+(R58-R59)/R54</f>
        <v>0.54016268429079828</v>
      </c>
      <c r="S60" s="42">
        <f>+(S58-S59)/S54</f>
        <v>0.44483985765124567</v>
      </c>
      <c r="T60" s="42">
        <f>+(T58-T59)/T54</f>
        <v>0.43815723585378064</v>
      </c>
      <c r="U60" s="42">
        <f>+(U58-U59)/U54</f>
        <v>0.35434383858595958</v>
      </c>
      <c r="V60" s="42">
        <f t="shared" ref="V60:W60" si="19">+(V58-V59)/V54</f>
        <v>0.77924969386619158</v>
      </c>
      <c r="W60" s="42">
        <f t="shared" si="19"/>
        <v>0.77924969386619158</v>
      </c>
    </row>
    <row r="61" spans="1:23" x14ac:dyDescent="0.25"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</row>
    <row r="62" spans="1:23" x14ac:dyDescent="0.25">
      <c r="F62" s="46"/>
      <c r="G62" s="46"/>
      <c r="H62" s="46" t="s">
        <v>45</v>
      </c>
      <c r="I62" s="46" t="s">
        <v>45</v>
      </c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</row>
    <row r="63" spans="1:23" x14ac:dyDescent="0.25">
      <c r="A63" t="s">
        <v>55</v>
      </c>
      <c r="B63">
        <f>+B26*(1+B30)*1.1</f>
        <v>484.00000000000011</v>
      </c>
      <c r="C63">
        <f>+C26*(1+C30)*1.1</f>
        <v>484.00000000000011</v>
      </c>
      <c r="D63">
        <f t="shared" ref="D63:T63" si="20">+D26*(1+D30)*1.1</f>
        <v>484.00000000000011</v>
      </c>
      <c r="E63">
        <f t="shared" si="20"/>
        <v>484.00000000000011</v>
      </c>
      <c r="F63">
        <f t="shared" si="20"/>
        <v>484.00000000000011</v>
      </c>
      <c r="G63">
        <f t="shared" si="20"/>
        <v>605</v>
      </c>
      <c r="H63">
        <f t="shared" si="20"/>
        <v>7.2600000000000016</v>
      </c>
      <c r="I63">
        <f t="shared" ref="I63" si="21">+I26*(1+I30)*1.1</f>
        <v>7.2600000000000016</v>
      </c>
      <c r="J63">
        <f t="shared" si="20"/>
        <v>7.2600000000000016</v>
      </c>
      <c r="K63">
        <f t="shared" si="20"/>
        <v>7.2600000000000016</v>
      </c>
      <c r="L63">
        <f t="shared" si="20"/>
        <v>7.2600000000000016</v>
      </c>
      <c r="M63">
        <f>+M26*(1+M30)*1.1</f>
        <v>7.2600000000000016</v>
      </c>
      <c r="N63">
        <f t="shared" si="20"/>
        <v>12.100000000000001</v>
      </c>
      <c r="O63">
        <f t="shared" si="20"/>
        <v>1.32</v>
      </c>
      <c r="P63">
        <f t="shared" si="20"/>
        <v>3.96</v>
      </c>
      <c r="Q63">
        <f t="shared" si="20"/>
        <v>8.5800000000000018</v>
      </c>
      <c r="R63">
        <f>+R26*(1+R30)*1.1</f>
        <v>17.160000000000004</v>
      </c>
      <c r="S63">
        <f>+S26*(1+S30)*1.1</f>
        <v>34.320000000000007</v>
      </c>
      <c r="T63">
        <f t="shared" si="20"/>
        <v>8.5800000000000018</v>
      </c>
      <c r="U63">
        <f t="shared" ref="U63" si="22">+U26*(1+U30)*1.1</f>
        <v>35.75</v>
      </c>
      <c r="V63">
        <f t="shared" ref="V63:W63" si="23">+V26*(1+V30)*1.1</f>
        <v>71.5</v>
      </c>
      <c r="W63">
        <f t="shared" si="23"/>
        <v>143</v>
      </c>
    </row>
    <row r="64" spans="1:23" x14ac:dyDescent="0.25">
      <c r="A64" t="s">
        <v>56</v>
      </c>
      <c r="B64" s="48">
        <f t="shared" ref="B64:V64" si="24">+B26*B30/B20</f>
        <v>40</v>
      </c>
      <c r="C64" s="48">
        <f t="shared" ref="C64" si="25">+C26*C30/C20</f>
        <v>40</v>
      </c>
      <c r="D64" s="48">
        <f t="shared" si="24"/>
        <v>40</v>
      </c>
      <c r="E64" s="48">
        <f t="shared" si="24"/>
        <v>40</v>
      </c>
      <c r="F64" s="48">
        <f t="shared" si="24"/>
        <v>40</v>
      </c>
      <c r="G64" s="48">
        <f t="shared" si="24"/>
        <v>12.5</v>
      </c>
      <c r="H64" s="48">
        <f t="shared" si="24"/>
        <v>0.30000000000000004</v>
      </c>
      <c r="I64" s="48">
        <f t="shared" ref="I64" si="26">+I26*I30/I20</f>
        <v>0.30000000000000004</v>
      </c>
      <c r="J64" s="48">
        <f t="shared" si="24"/>
        <v>0.30000000000000004</v>
      </c>
      <c r="K64" s="48">
        <f t="shared" si="24"/>
        <v>0.20000000000000004</v>
      </c>
      <c r="L64" s="48">
        <f t="shared" si="24"/>
        <v>0.30000000000000004</v>
      </c>
      <c r="M64" s="48">
        <f>+M26*M30/M20</f>
        <v>0.60000000000000009</v>
      </c>
      <c r="N64" s="48">
        <f t="shared" si="24"/>
        <v>0.25</v>
      </c>
      <c r="O64" s="48">
        <f t="shared" si="24"/>
        <v>0.2</v>
      </c>
      <c r="P64" s="48">
        <f t="shared" si="24"/>
        <v>0.20000000000000004</v>
      </c>
      <c r="Q64" s="48">
        <f t="shared" si="24"/>
        <v>0.89999999999999991</v>
      </c>
      <c r="R64" s="48">
        <f>+R26*R30/R20</f>
        <v>1.7999999999999998</v>
      </c>
      <c r="S64" s="48">
        <f>+S26*S30/S20</f>
        <v>7.1999999999999993</v>
      </c>
      <c r="T64" s="48">
        <f t="shared" si="24"/>
        <v>1.7999999999999998</v>
      </c>
      <c r="U64" s="48">
        <f t="shared" ref="U64" si="27">+U26*U30/U20</f>
        <v>3.75</v>
      </c>
      <c r="V64" s="48">
        <f t="shared" si="24"/>
        <v>15</v>
      </c>
      <c r="W64" s="48">
        <f t="shared" ref="W64" si="28">+W26*W30/W20</f>
        <v>30</v>
      </c>
    </row>
    <row r="66" spans="1:23" x14ac:dyDescent="0.25">
      <c r="A66" t="s">
        <v>81</v>
      </c>
      <c r="B66" s="51"/>
      <c r="C66" s="51"/>
      <c r="D66" s="51"/>
      <c r="E66" s="51"/>
      <c r="F66" s="51"/>
      <c r="G66" s="51"/>
      <c r="H66" s="51"/>
      <c r="I66" s="51"/>
      <c r="J66" s="51"/>
      <c r="K66" s="51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</row>
    <row r="67" spans="1:23" x14ac:dyDescent="0.25">
      <c r="A67" t="s">
        <v>142</v>
      </c>
      <c r="B67" s="62">
        <f>+B33*2/3/B38</f>
        <v>0.80000000000000016</v>
      </c>
      <c r="C67" s="62">
        <f t="shared" ref="C67:W67" si="29">+C33*2/3/C38</f>
        <v>0.80000000000000016</v>
      </c>
      <c r="D67" s="62">
        <f t="shared" si="29"/>
        <v>0.80000000000000016</v>
      </c>
      <c r="E67" s="62">
        <f t="shared" si="29"/>
        <v>0.80000000000000016</v>
      </c>
      <c r="F67" s="62">
        <f t="shared" si="29"/>
        <v>0.80000000000000016</v>
      </c>
      <c r="G67" s="62">
        <f t="shared" si="29"/>
        <v>0.15</v>
      </c>
      <c r="H67" s="62">
        <f t="shared" si="29"/>
        <v>0.40000000000000008</v>
      </c>
      <c r="I67" s="62">
        <f t="shared" si="29"/>
        <v>0.40000000000000008</v>
      </c>
      <c r="J67" s="62">
        <f t="shared" si="29"/>
        <v>0.40000000000000008</v>
      </c>
      <c r="K67" s="62">
        <f t="shared" si="29"/>
        <v>0.40000000000000013</v>
      </c>
      <c r="L67" s="62">
        <f t="shared" si="29"/>
        <v>0.40000000000000008</v>
      </c>
      <c r="M67" s="62">
        <f t="shared" si="29"/>
        <v>0.40000000000000008</v>
      </c>
      <c r="N67" s="62">
        <f t="shared" si="29"/>
        <v>0.4</v>
      </c>
      <c r="O67" s="62">
        <f t="shared" si="29"/>
        <v>0.69999999999999984</v>
      </c>
      <c r="P67" s="62">
        <f t="shared" si="29"/>
        <v>0.69999999999999984</v>
      </c>
      <c r="Q67" s="62">
        <f t="shared" si="29"/>
        <v>0.7</v>
      </c>
      <c r="R67" s="62">
        <f t="shared" si="29"/>
        <v>0.69999999999999984</v>
      </c>
      <c r="S67" s="62">
        <f t="shared" si="29"/>
        <v>0.69999999999999984</v>
      </c>
      <c r="T67" s="62">
        <f t="shared" si="29"/>
        <v>1.7777777777777779</v>
      </c>
      <c r="U67" s="62">
        <f t="shared" si="29"/>
        <v>0.80000000000000016</v>
      </c>
      <c r="V67" s="62">
        <f t="shared" si="29"/>
        <v>0.80000000000000016</v>
      </c>
      <c r="W67" s="62">
        <f t="shared" si="29"/>
        <v>0.80000000000000016</v>
      </c>
    </row>
    <row r="68" spans="1:23" x14ac:dyDescent="0.25">
      <c r="B68" s="42"/>
      <c r="C68" s="42"/>
      <c r="D68" s="42"/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</row>
    <row r="72" spans="1:23" x14ac:dyDescent="0.25">
      <c r="L72" s="6" t="s">
        <v>145</v>
      </c>
    </row>
  </sheetData>
  <conditionalFormatting sqref="L7">
    <cfRule type="duplicateValues" dxfId="22" priority="124"/>
  </conditionalFormatting>
  <conditionalFormatting sqref="I7">
    <cfRule type="duplicateValues" dxfId="21" priority="136"/>
  </conditionalFormatting>
  <conditionalFormatting sqref="J7">
    <cfRule type="duplicateValues" dxfId="20" priority="148"/>
  </conditionalFormatting>
  <conditionalFormatting sqref="K7">
    <cfRule type="duplicateValues" dxfId="19" priority="150"/>
  </conditionalFormatting>
  <conditionalFormatting sqref="V21:W21 B21 G21:H21 M21:T21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2:W22 B22 G22:H22 M22:T22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:W26 B26 G26:H26 N26:T26">
    <cfRule type="dataBar" priority="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{61C36302-3A6A-4547-8538-F079A8D14F1C}</x14:id>
        </ext>
      </extLst>
    </cfRule>
  </conditionalFormatting>
  <conditionalFormatting sqref="V27:W28 B27:B28 G27:H28 N27:T28">
    <cfRule type="dataBar" priority="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{A7C028B2-B152-4FDB-968B-AB1A3FB3A73B}</x14:id>
        </ext>
      </extLst>
    </cfRule>
  </conditionalFormatting>
  <conditionalFormatting sqref="V20:W20 B20 G20:H20 M20:T20">
    <cfRule type="dataBar" priority="5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{FE1C2B79-0604-41C7-9207-14D076B50904}</x14:id>
        </ext>
      </extLst>
    </cfRule>
  </conditionalFormatting>
  <conditionalFormatting sqref="U2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2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">
    <cfRule type="dataBar" priority="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{A086487D-EF4C-4907-9C4C-42CB13C1DBB2}</x14:id>
        </ext>
      </extLst>
    </cfRule>
  </conditionalFormatting>
  <conditionalFormatting sqref="U27:U28">
    <cfRule type="dataBar" priority="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{8AA208C8-54C9-4117-838C-ECBAB547B6CD}</x14:id>
        </ext>
      </extLst>
    </cfRule>
  </conditionalFormatting>
  <conditionalFormatting sqref="U20">
    <cfRule type="dataBar" priority="5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{F1AFC1A5-FBDD-41BF-B819-21B4A9F9EB7B}</x14:id>
        </ext>
      </extLst>
    </cfRule>
  </conditionalFormatting>
  <conditionalFormatting sqref="O7">
    <cfRule type="duplicateValues" dxfId="18" priority="157"/>
  </conditionalFormatting>
  <conditionalFormatting sqref="T7">
    <cfRule type="duplicateValues" dxfId="17" priority="158"/>
  </conditionalFormatting>
  <conditionalFormatting sqref="M7">
    <cfRule type="duplicateValues" dxfId="16" priority="159"/>
  </conditionalFormatting>
  <conditionalFormatting sqref="E7">
    <cfRule type="duplicateValues" dxfId="15" priority="160"/>
  </conditionalFormatting>
  <conditionalFormatting sqref="D7">
    <cfRule type="duplicateValues" dxfId="14" priority="161"/>
  </conditionalFormatting>
  <conditionalFormatting sqref="G7">
    <cfRule type="duplicateValues" dxfId="13" priority="162"/>
  </conditionalFormatting>
  <conditionalFormatting sqref="P7">
    <cfRule type="duplicateValues" dxfId="12" priority="163"/>
  </conditionalFormatting>
  <conditionalFormatting sqref="Q7">
    <cfRule type="duplicateValues" dxfId="11" priority="164"/>
  </conditionalFormatting>
  <conditionalFormatting sqref="V7">
    <cfRule type="duplicateValues" dxfId="10" priority="165"/>
  </conditionalFormatting>
  <conditionalFormatting sqref="H7 N7 R7 B7 F7 D7">
    <cfRule type="duplicateValues" dxfId="9" priority="166"/>
  </conditionalFormatting>
  <conditionalFormatting sqref="C7">
    <cfRule type="duplicateValues" dxfId="8" priority="179"/>
  </conditionalFormatting>
  <conditionalFormatting sqref="S7">
    <cfRule type="duplicateValues" dxfId="7" priority="180"/>
  </conditionalFormatting>
  <conditionalFormatting sqref="W7">
    <cfRule type="duplicateValues" dxfId="6" priority="181"/>
  </conditionalFormatting>
  <conditionalFormatting sqref="U7">
    <cfRule type="duplicateValues" dxfId="5" priority="182"/>
  </conditionalFormatting>
  <conditionalFormatting sqref="I2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{3789A30E-2947-49FD-8EB5-B35C8E04551C}</x14:id>
        </ext>
      </extLst>
    </cfRule>
  </conditionalFormatting>
  <conditionalFormatting sqref="I27:I28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{D0AE8D08-E65C-4019-9C90-BFC58555C895}</x14:id>
        </ext>
      </extLst>
    </cfRule>
  </conditionalFormatting>
  <conditionalFormatting sqref="I20">
    <cfRule type="dataBar" priority="3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{6294AC46-D45D-4C7B-AA3E-3138F42F4BE5}</x14:id>
        </ext>
      </extLst>
    </cfRule>
  </conditionalFormatting>
  <conditionalFormatting sqref="J2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{CD8B6E00-8DFD-4F68-875D-0FBD8CA31284}</x14:id>
        </ext>
      </extLst>
    </cfRule>
  </conditionalFormatting>
  <conditionalFormatting sqref="J27:J28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{2D8E248D-B17A-44A5-A275-1E938DD315D1}</x14:id>
        </ext>
      </extLst>
    </cfRule>
  </conditionalFormatting>
  <conditionalFormatting sqref="J20">
    <cfRule type="dataBar" priority="3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{A11A00B3-216C-4A51-A1BE-F6F7F285C5A8}</x14:id>
        </ext>
      </extLst>
    </cfRule>
  </conditionalFormatting>
  <conditionalFormatting sqref="K2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2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"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{928FB704-FAA1-45D1-9256-82F4FD464242}</x14:id>
        </ext>
      </extLst>
    </cfRule>
  </conditionalFormatting>
  <conditionalFormatting sqref="K27:K28"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{06249649-EAF8-47BE-AC02-319AF58C1255}</x14:id>
        </ext>
      </extLst>
    </cfRule>
  </conditionalFormatting>
  <conditionalFormatting sqref="K20">
    <cfRule type="dataBar" priority="2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{B36C10C8-1954-4B38-BD08-BD9AAD2C1304}</x14:id>
        </ext>
      </extLst>
    </cfRule>
  </conditionalFormatting>
  <conditionalFormatting sqref="L2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2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{BBF57F90-1E76-4DE4-A000-20C00F5DBBF8}</x14:id>
        </ext>
      </extLst>
    </cfRule>
  </conditionalFormatting>
  <conditionalFormatting sqref="L27:L28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{60FA843E-7AAA-403B-A210-C8E43313E636}</x14:id>
        </ext>
      </extLst>
    </cfRule>
  </conditionalFormatting>
  <conditionalFormatting sqref="L20">
    <cfRule type="dataBar" priority="2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{82F47ED6-55C0-480B-A4D3-AE8A6B7E7497}</x14:id>
        </ext>
      </extLst>
    </cfRule>
  </conditionalFormatting>
  <conditionalFormatting sqref="C2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{08BFA530-196E-460E-90A1-8070986E1592}</x14:id>
        </ext>
      </extLst>
    </cfRule>
  </conditionalFormatting>
  <conditionalFormatting sqref="C27:C28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{4AF2E8FD-0C60-4D05-A58F-83C89BE727D7}</x14:id>
        </ext>
      </extLst>
    </cfRule>
  </conditionalFormatting>
  <conditionalFormatting sqref="C20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{3DF7ABEF-231C-491B-8130-8B271FB108AF}</x14:id>
        </ext>
      </extLst>
    </cfRule>
  </conditionalFormatting>
  <conditionalFormatting sqref="D2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{3548B0E6-DBE3-4F52-AEC4-8F2916D32922}</x14:id>
        </ext>
      </extLst>
    </cfRule>
  </conditionalFormatting>
  <conditionalFormatting sqref="D27:D28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{F761185D-0A60-4276-868A-6DF37434ABBF}</x14:id>
        </ext>
      </extLst>
    </cfRule>
  </conditionalFormatting>
  <conditionalFormatting sqref="D20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{72EAEE71-E924-433D-A819-3D9EDC8D88C3}</x14:id>
        </ext>
      </extLst>
    </cfRule>
  </conditionalFormatting>
  <conditionalFormatting sqref="E2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{FAFD60E0-81D6-4705-940C-469E950BBE36}</x14:id>
        </ext>
      </extLst>
    </cfRule>
  </conditionalFormatting>
  <conditionalFormatting sqref="E27:E28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{BE836CE9-1654-47FD-AECD-08E437D6AD4F}</x14:id>
        </ext>
      </extLst>
    </cfRule>
  </conditionalFormatting>
  <conditionalFormatting sqref="E20">
    <cfRule type="dataBar" priority="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{5EC2AF29-2F42-4191-BBC5-A2206D3A0B41}</x14:id>
        </ext>
      </extLst>
    </cfRule>
  </conditionalFormatting>
  <conditionalFormatting sqref="F2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{3D200E92-0DD4-4849-ACBF-B1550BD41245}</x14:id>
        </ext>
      </extLst>
    </cfRule>
  </conditionalFormatting>
  <conditionalFormatting sqref="F27:F28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{105F2DE1-1025-4E6F-B97B-578EE07FF4E9}</x14:id>
        </ext>
      </extLst>
    </cfRule>
  </conditionalFormatting>
  <conditionalFormatting sqref="F20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{0B631F3E-0F30-4546-9A3F-53D49263C31F}</x14:id>
        </ext>
      </extLst>
    </cfRule>
  </conditionalFormatting>
  <conditionalFormatting sqref="M7:O7 F7 H7 B7 R7 D7 T7">
    <cfRule type="duplicateValues" dxfId="4" priority="215"/>
  </conditionalFormatting>
  <conditionalFormatting sqref="M26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{7ADDEE16-5C17-45AA-9D69-0FC671C76FC6}</x14:id>
        </ext>
      </extLst>
    </cfRule>
  </conditionalFormatting>
  <conditionalFormatting sqref="M27:M2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{74881E5B-B9EE-4744-9128-B70207568EC8}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1C36302-3A6A-4547-8538-F079A8D14F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V26:W26 B26 G26:H26 N26:T26</xm:sqref>
        </x14:conditionalFormatting>
        <x14:conditionalFormatting xmlns:xm="http://schemas.microsoft.com/office/excel/2006/main">
          <x14:cfRule type="dataBar" id="{A7C028B2-B152-4FDB-968B-AB1A3FB3A7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V27:W28 B27:B28 G27:H28 N27:T28</xm:sqref>
        </x14:conditionalFormatting>
        <x14:conditionalFormatting xmlns:xm="http://schemas.microsoft.com/office/excel/2006/main">
          <x14:cfRule type="dataBar" id="{FE1C2B79-0604-41C7-9207-14D076B5090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V20:W20 B20 G20:H20 M20:T20</xm:sqref>
        </x14:conditionalFormatting>
        <x14:conditionalFormatting xmlns:xm="http://schemas.microsoft.com/office/excel/2006/main">
          <x14:cfRule type="dataBar" id="{A086487D-EF4C-4907-9C4C-42CB13C1DB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U26</xm:sqref>
        </x14:conditionalFormatting>
        <x14:conditionalFormatting xmlns:xm="http://schemas.microsoft.com/office/excel/2006/main">
          <x14:cfRule type="dataBar" id="{8AA208C8-54C9-4117-838C-ECBAB547B6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U27:U28</xm:sqref>
        </x14:conditionalFormatting>
        <x14:conditionalFormatting xmlns:xm="http://schemas.microsoft.com/office/excel/2006/main">
          <x14:cfRule type="dataBar" id="{F1AFC1A5-FBDD-41BF-B819-21B4A9F9EB7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U20</xm:sqref>
        </x14:conditionalFormatting>
        <x14:conditionalFormatting xmlns:xm="http://schemas.microsoft.com/office/excel/2006/main">
          <x14:cfRule type="dataBar" id="{3789A30E-2947-49FD-8EB5-B35C8E0455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I26</xm:sqref>
        </x14:conditionalFormatting>
        <x14:conditionalFormatting xmlns:xm="http://schemas.microsoft.com/office/excel/2006/main">
          <x14:cfRule type="dataBar" id="{D0AE8D08-E65C-4019-9C90-BFC58555C89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I27:I28</xm:sqref>
        </x14:conditionalFormatting>
        <x14:conditionalFormatting xmlns:xm="http://schemas.microsoft.com/office/excel/2006/main">
          <x14:cfRule type="dataBar" id="{6294AC46-D45D-4C7B-AA3E-3138F42F4BE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I20</xm:sqref>
        </x14:conditionalFormatting>
        <x14:conditionalFormatting xmlns:xm="http://schemas.microsoft.com/office/excel/2006/main">
          <x14:cfRule type="dataBar" id="{CD8B6E00-8DFD-4F68-875D-0FBD8CA312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J26</xm:sqref>
        </x14:conditionalFormatting>
        <x14:conditionalFormatting xmlns:xm="http://schemas.microsoft.com/office/excel/2006/main">
          <x14:cfRule type="dataBar" id="{2D8E248D-B17A-44A5-A275-1E938DD315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J27:J28</xm:sqref>
        </x14:conditionalFormatting>
        <x14:conditionalFormatting xmlns:xm="http://schemas.microsoft.com/office/excel/2006/main">
          <x14:cfRule type="dataBar" id="{A11A00B3-216C-4A51-A1BE-F6F7F285C5A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J20</xm:sqref>
        </x14:conditionalFormatting>
        <x14:conditionalFormatting xmlns:xm="http://schemas.microsoft.com/office/excel/2006/main">
          <x14:cfRule type="dataBar" id="{928FB704-FAA1-45D1-9256-82F4FD4642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K26</xm:sqref>
        </x14:conditionalFormatting>
        <x14:conditionalFormatting xmlns:xm="http://schemas.microsoft.com/office/excel/2006/main">
          <x14:cfRule type="dataBar" id="{06249649-EAF8-47BE-AC02-319AF58C12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K27:K28</xm:sqref>
        </x14:conditionalFormatting>
        <x14:conditionalFormatting xmlns:xm="http://schemas.microsoft.com/office/excel/2006/main">
          <x14:cfRule type="dataBar" id="{B36C10C8-1954-4B38-BD08-BD9AAD2C130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K20</xm:sqref>
        </x14:conditionalFormatting>
        <x14:conditionalFormatting xmlns:xm="http://schemas.microsoft.com/office/excel/2006/main">
          <x14:cfRule type="dataBar" id="{BBF57F90-1E76-4DE4-A000-20C00F5DBB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L26</xm:sqref>
        </x14:conditionalFormatting>
        <x14:conditionalFormatting xmlns:xm="http://schemas.microsoft.com/office/excel/2006/main">
          <x14:cfRule type="dataBar" id="{60FA843E-7AAA-403B-A210-C8E43313E6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L27:L28</xm:sqref>
        </x14:conditionalFormatting>
        <x14:conditionalFormatting xmlns:xm="http://schemas.microsoft.com/office/excel/2006/main">
          <x14:cfRule type="dataBar" id="{82F47ED6-55C0-480B-A4D3-AE8A6B7E7497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L20</xm:sqref>
        </x14:conditionalFormatting>
        <x14:conditionalFormatting xmlns:xm="http://schemas.microsoft.com/office/excel/2006/main">
          <x14:cfRule type="dataBar" id="{08BFA530-196E-460E-90A1-8070986E15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C26</xm:sqref>
        </x14:conditionalFormatting>
        <x14:conditionalFormatting xmlns:xm="http://schemas.microsoft.com/office/excel/2006/main">
          <x14:cfRule type="dataBar" id="{4AF2E8FD-0C60-4D05-A58F-83C89BE727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C27:C28</xm:sqref>
        </x14:conditionalFormatting>
        <x14:conditionalFormatting xmlns:xm="http://schemas.microsoft.com/office/excel/2006/main">
          <x14:cfRule type="dataBar" id="{3DF7ABEF-231C-491B-8130-8B271FB108A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C20</xm:sqref>
        </x14:conditionalFormatting>
        <x14:conditionalFormatting xmlns:xm="http://schemas.microsoft.com/office/excel/2006/main">
          <x14:cfRule type="dataBar" id="{3548B0E6-DBE3-4F52-AEC4-8F2916D329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D26</xm:sqref>
        </x14:conditionalFormatting>
        <x14:conditionalFormatting xmlns:xm="http://schemas.microsoft.com/office/excel/2006/main">
          <x14:cfRule type="dataBar" id="{F761185D-0A60-4276-868A-6DF37434AB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D27:D28</xm:sqref>
        </x14:conditionalFormatting>
        <x14:conditionalFormatting xmlns:xm="http://schemas.microsoft.com/office/excel/2006/main">
          <x14:cfRule type="dataBar" id="{72EAEE71-E924-433D-A819-3D9EDC8D88C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D20</xm:sqref>
        </x14:conditionalFormatting>
        <x14:conditionalFormatting xmlns:xm="http://schemas.microsoft.com/office/excel/2006/main">
          <x14:cfRule type="dataBar" id="{FAFD60E0-81D6-4705-940C-469E950BBE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E26</xm:sqref>
        </x14:conditionalFormatting>
        <x14:conditionalFormatting xmlns:xm="http://schemas.microsoft.com/office/excel/2006/main">
          <x14:cfRule type="dataBar" id="{BE836CE9-1654-47FD-AECD-08E437D6AD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E27:E28</xm:sqref>
        </x14:conditionalFormatting>
        <x14:conditionalFormatting xmlns:xm="http://schemas.microsoft.com/office/excel/2006/main">
          <x14:cfRule type="dataBar" id="{5EC2AF29-2F42-4191-BBC5-A2206D3A0B4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E20</xm:sqref>
        </x14:conditionalFormatting>
        <x14:conditionalFormatting xmlns:xm="http://schemas.microsoft.com/office/excel/2006/main">
          <x14:cfRule type="dataBar" id="{3D200E92-0DD4-4849-ACBF-B1550BD4124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F26</xm:sqref>
        </x14:conditionalFormatting>
        <x14:conditionalFormatting xmlns:xm="http://schemas.microsoft.com/office/excel/2006/main">
          <x14:cfRule type="dataBar" id="{105F2DE1-1025-4E6F-B97B-578EE07FF4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F27:F28</xm:sqref>
        </x14:conditionalFormatting>
        <x14:conditionalFormatting xmlns:xm="http://schemas.microsoft.com/office/excel/2006/main">
          <x14:cfRule type="dataBar" id="{0B631F3E-0F30-4546-9A3F-53D49263C31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F20</xm:sqref>
        </x14:conditionalFormatting>
        <x14:conditionalFormatting xmlns:xm="http://schemas.microsoft.com/office/excel/2006/main">
          <x14:cfRule type="dataBar" id="{7ADDEE16-5C17-45AA-9D69-0FC671C76F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M26</xm:sqref>
        </x14:conditionalFormatting>
        <x14:conditionalFormatting xmlns:xm="http://schemas.microsoft.com/office/excel/2006/main">
          <x14:cfRule type="dataBar" id="{74881E5B-B9EE-4744-9128-B70207568E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M27:M28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62DCFE51-E5A0-46C0-BA78-677466E1BE10}">
          <x14:formula1>
            <xm:f>Tables!$A$37:$A$40</xm:f>
          </x14:formula1>
          <xm:sqref>B5:W5</xm:sqref>
        </x14:dataValidation>
        <x14:dataValidation type="list" allowBlank="1" showInputMessage="1" showErrorMessage="1" xr:uid="{B3D47E63-4CCF-498A-86C2-6290C49D352E}">
          <x14:formula1>
            <xm:f>Tables!$A$4:$A$31</xm:f>
          </x14:formula1>
          <xm:sqref>B7:W7 B9:W9</xm:sqref>
        </x14:dataValidation>
        <x14:dataValidation type="list" allowBlank="1" showInputMessage="1" showErrorMessage="1" xr:uid="{D216311E-5B6A-4C70-909E-8209732DFE29}">
          <x14:formula1>
            <xm:f>Tables!$A$44:$A$54</xm:f>
          </x14:formula1>
          <xm:sqref>B10:W10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BAD23-665C-45A0-A2F6-8BFEBBDF1CAA}">
  <sheetPr codeName="Hoja2"/>
  <dimension ref="A4:E54"/>
  <sheetViews>
    <sheetView workbookViewId="0">
      <selection activeCell="A4" sqref="A4:B31"/>
    </sheetView>
  </sheetViews>
  <sheetFormatPr baseColWidth="10" defaultRowHeight="15" x14ac:dyDescent="0.25"/>
  <cols>
    <col min="1" max="1" width="23.28515625" customWidth="1"/>
    <col min="2" max="2" width="14.85546875" customWidth="1"/>
  </cols>
  <sheetData>
    <row r="4" spans="1:3" x14ac:dyDescent="0.25">
      <c r="A4" t="s">
        <v>3</v>
      </c>
      <c r="B4" t="s">
        <v>4</v>
      </c>
    </row>
    <row r="5" spans="1:3" x14ac:dyDescent="0.25">
      <c r="A5" t="s">
        <v>9</v>
      </c>
      <c r="B5">
        <v>0</v>
      </c>
      <c r="C5" t="s">
        <v>2</v>
      </c>
    </row>
    <row r="6" spans="1:3" x14ac:dyDescent="0.25">
      <c r="A6" t="s">
        <v>109</v>
      </c>
      <c r="B6">
        <v>1</v>
      </c>
    </row>
    <row r="7" spans="1:3" x14ac:dyDescent="0.25">
      <c r="A7" t="s">
        <v>110</v>
      </c>
      <c r="B7">
        <v>2</v>
      </c>
    </row>
    <row r="8" spans="1:3" x14ac:dyDescent="0.25">
      <c r="A8" t="s">
        <v>111</v>
      </c>
      <c r="B8">
        <v>3</v>
      </c>
    </row>
    <row r="9" spans="1:3" x14ac:dyDescent="0.25">
      <c r="A9" t="s">
        <v>112</v>
      </c>
      <c r="B9">
        <v>4</v>
      </c>
    </row>
    <row r="10" spans="1:3" x14ac:dyDescent="0.25">
      <c r="A10" t="s">
        <v>113</v>
      </c>
      <c r="B10">
        <v>5</v>
      </c>
    </row>
    <row r="11" spans="1:3" x14ac:dyDescent="0.25">
      <c r="A11" t="s">
        <v>114</v>
      </c>
      <c r="B11">
        <v>6</v>
      </c>
    </row>
    <row r="12" spans="1:3" x14ac:dyDescent="0.25">
      <c r="A12" t="s">
        <v>115</v>
      </c>
      <c r="B12">
        <v>7</v>
      </c>
    </row>
    <row r="13" spans="1:3" x14ac:dyDescent="0.25">
      <c r="A13" t="s">
        <v>116</v>
      </c>
      <c r="B13">
        <v>8</v>
      </c>
    </row>
    <row r="14" spans="1:3" x14ac:dyDescent="0.25">
      <c r="A14" t="s">
        <v>117</v>
      </c>
      <c r="B14">
        <v>9</v>
      </c>
    </row>
    <row r="15" spans="1:3" x14ac:dyDescent="0.25">
      <c r="A15" t="s">
        <v>118</v>
      </c>
      <c r="B15">
        <v>10</v>
      </c>
    </row>
    <row r="16" spans="1:3" x14ac:dyDescent="0.25">
      <c r="A16" t="s">
        <v>119</v>
      </c>
      <c r="B16">
        <v>11</v>
      </c>
    </row>
    <row r="17" spans="1:2" x14ac:dyDescent="0.25">
      <c r="A17" t="s">
        <v>120</v>
      </c>
      <c r="B17">
        <v>12</v>
      </c>
    </row>
    <row r="18" spans="1:2" x14ac:dyDescent="0.25">
      <c r="A18" t="s">
        <v>121</v>
      </c>
      <c r="B18">
        <v>13</v>
      </c>
    </row>
    <row r="19" spans="1:2" x14ac:dyDescent="0.25">
      <c r="A19" t="s">
        <v>122</v>
      </c>
      <c r="B19">
        <v>14</v>
      </c>
    </row>
    <row r="20" spans="1:2" x14ac:dyDescent="0.25">
      <c r="A20" t="s">
        <v>123</v>
      </c>
      <c r="B20">
        <v>15</v>
      </c>
    </row>
    <row r="21" spans="1:2" x14ac:dyDescent="0.25">
      <c r="A21" t="s">
        <v>124</v>
      </c>
      <c r="B21">
        <v>16</v>
      </c>
    </row>
    <row r="22" spans="1:2" x14ac:dyDescent="0.25">
      <c r="A22" t="s">
        <v>125</v>
      </c>
      <c r="B22">
        <v>17</v>
      </c>
    </row>
    <row r="23" spans="1:2" x14ac:dyDescent="0.25">
      <c r="A23" t="s">
        <v>126</v>
      </c>
      <c r="B23">
        <v>18</v>
      </c>
    </row>
    <row r="24" spans="1:2" x14ac:dyDescent="0.25">
      <c r="A24" t="s">
        <v>127</v>
      </c>
      <c r="B24">
        <v>19</v>
      </c>
    </row>
    <row r="25" spans="1:2" x14ac:dyDescent="0.25">
      <c r="A25" t="s">
        <v>128</v>
      </c>
      <c r="B25">
        <v>20</v>
      </c>
    </row>
    <row r="26" spans="1:2" x14ac:dyDescent="0.25">
      <c r="A26" t="s">
        <v>129</v>
      </c>
      <c r="B26">
        <v>21</v>
      </c>
    </row>
    <row r="27" spans="1:2" x14ac:dyDescent="0.25">
      <c r="A27" t="s">
        <v>130</v>
      </c>
      <c r="B27">
        <v>22</v>
      </c>
    </row>
    <row r="30" spans="1:2" x14ac:dyDescent="0.25">
      <c r="A30" t="s">
        <v>52</v>
      </c>
    </row>
    <row r="31" spans="1:2" x14ac:dyDescent="0.25">
      <c r="A31" s="6" t="s">
        <v>51</v>
      </c>
      <c r="B31">
        <v>99</v>
      </c>
    </row>
    <row r="37" spans="1:4" x14ac:dyDescent="0.25">
      <c r="A37" t="s">
        <v>6</v>
      </c>
      <c r="B37" t="s">
        <v>4</v>
      </c>
    </row>
    <row r="38" spans="1:4" x14ac:dyDescent="0.25">
      <c r="A38" t="s">
        <v>7</v>
      </c>
      <c r="B38">
        <v>0</v>
      </c>
    </row>
    <row r="39" spans="1:4" x14ac:dyDescent="0.25">
      <c r="A39" t="s">
        <v>8</v>
      </c>
      <c r="B39">
        <v>1</v>
      </c>
    </row>
    <row r="40" spans="1:4" x14ac:dyDescent="0.25">
      <c r="A40" t="s">
        <v>5</v>
      </c>
      <c r="B40">
        <v>2</v>
      </c>
    </row>
    <row r="43" spans="1:4" x14ac:dyDescent="0.25">
      <c r="D43" t="s">
        <v>100</v>
      </c>
    </row>
    <row r="44" spans="1:4" ht="15.75" thickBot="1" x14ac:dyDescent="0.3">
      <c r="A44" s="53" t="s">
        <v>88</v>
      </c>
      <c r="B44" s="56" t="s">
        <v>98</v>
      </c>
      <c r="C44" t="s">
        <v>99</v>
      </c>
      <c r="D44">
        <v>10</v>
      </c>
    </row>
    <row r="45" spans="1:4" ht="15.75" thickBot="1" x14ac:dyDescent="0.3">
      <c r="A45" s="54" t="s">
        <v>89</v>
      </c>
      <c r="B45" s="57">
        <v>1</v>
      </c>
      <c r="C45">
        <v>0.1</v>
      </c>
      <c r="D45" s="18">
        <f>+$D$44/Tabla2[[#This Row],[family_area]]</f>
        <v>10</v>
      </c>
    </row>
    <row r="46" spans="1:4" ht="15.75" thickBot="1" x14ac:dyDescent="0.3">
      <c r="A46" s="54" t="s">
        <v>90</v>
      </c>
      <c r="B46" s="57">
        <v>2</v>
      </c>
      <c r="C46">
        <v>0.3</v>
      </c>
      <c r="D46" s="18">
        <f>+$D$44/Tabla2[[#This Row],[family_area]]</f>
        <v>5</v>
      </c>
    </row>
    <row r="47" spans="1:4" ht="15.75" thickBot="1" x14ac:dyDescent="0.3">
      <c r="A47" s="54" t="s">
        <v>91</v>
      </c>
      <c r="B47" s="57">
        <v>3</v>
      </c>
      <c r="C47">
        <v>0.5</v>
      </c>
      <c r="D47" s="18">
        <f>+$D$44/Tabla2[[#This Row],[family_area]]</f>
        <v>3.3333333333333335</v>
      </c>
    </row>
    <row r="48" spans="1:4" ht="15.75" thickBot="1" x14ac:dyDescent="0.3">
      <c r="A48" s="54" t="s">
        <v>92</v>
      </c>
      <c r="B48" s="57">
        <v>4</v>
      </c>
      <c r="C48">
        <v>1</v>
      </c>
      <c r="D48" s="18">
        <f>+$D$44/Tabla2[[#This Row],[family_area]]</f>
        <v>2.5</v>
      </c>
    </row>
    <row r="49" spans="1:5" ht="15.75" thickBot="1" x14ac:dyDescent="0.3">
      <c r="A49" s="54" t="s">
        <v>93</v>
      </c>
      <c r="B49" s="57">
        <v>0.1</v>
      </c>
      <c r="C49">
        <v>0.1</v>
      </c>
      <c r="D49" s="18">
        <f>+$D$44/Tabla2[[#This Row],[family_area]]</f>
        <v>100</v>
      </c>
    </row>
    <row r="50" spans="1:5" ht="15.75" thickBot="1" x14ac:dyDescent="0.3">
      <c r="A50" s="54" t="s">
        <v>94</v>
      </c>
      <c r="B50" s="57">
        <v>3</v>
      </c>
      <c r="C50">
        <v>0.5</v>
      </c>
      <c r="D50" s="18">
        <f>+$D$44/Tabla2[[#This Row],[family_area]]</f>
        <v>3.3333333333333335</v>
      </c>
    </row>
    <row r="51" spans="1:5" ht="15.75" thickBot="1" x14ac:dyDescent="0.3">
      <c r="A51" s="54" t="s">
        <v>95</v>
      </c>
      <c r="B51" s="57">
        <v>5</v>
      </c>
      <c r="C51">
        <v>2</v>
      </c>
      <c r="D51" s="18">
        <f>+$D$44/Tabla2[[#This Row],[family_area]]</f>
        <v>2</v>
      </c>
    </row>
    <row r="52" spans="1:5" ht="15.75" thickBot="1" x14ac:dyDescent="0.3">
      <c r="A52" s="54" t="s">
        <v>96</v>
      </c>
      <c r="B52" s="57">
        <v>10</v>
      </c>
      <c r="C52">
        <v>10</v>
      </c>
      <c r="D52" s="18">
        <f>+$D$44/Tabla2[[#This Row],[family_area]]</f>
        <v>1</v>
      </c>
    </row>
    <row r="53" spans="1:5" ht="15.75" thickBot="1" x14ac:dyDescent="0.3">
      <c r="A53" s="54" t="s">
        <v>97</v>
      </c>
      <c r="B53" s="57">
        <v>10</v>
      </c>
      <c r="C53">
        <v>10</v>
      </c>
      <c r="D53" s="18">
        <f>+$D$44/Tabla2[[#This Row],[family_area]]</f>
        <v>1</v>
      </c>
      <c r="E53" t="s">
        <v>101</v>
      </c>
    </row>
    <row r="54" spans="1:5" x14ac:dyDescent="0.25">
      <c r="A54" s="52"/>
      <c r="B54" s="55"/>
      <c r="E54" s="6" t="s">
        <v>102</v>
      </c>
    </row>
  </sheetData>
  <pageMargins left="0.7" right="0.7" top="0.75" bottom="0.75" header="0.3" footer="0.3"/>
  <pageSetup paperSize="9" orientation="portrait" horizontalDpi="0" verticalDpi="0" r:id="rId1"/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08F63-CD92-41DE-B855-9BA4093DE986}">
  <sheetPr codeName="Hoja3"/>
  <dimension ref="A1:G18"/>
  <sheetViews>
    <sheetView workbookViewId="0">
      <selection activeCell="F11" sqref="F11"/>
    </sheetView>
  </sheetViews>
  <sheetFormatPr baseColWidth="10" defaultRowHeight="15" x14ac:dyDescent="0.25"/>
  <sheetData>
    <row r="1" spans="1:7" x14ac:dyDescent="0.25">
      <c r="B1" t="s">
        <v>34</v>
      </c>
      <c r="C1" t="s">
        <v>35</v>
      </c>
      <c r="E1" t="s">
        <v>34</v>
      </c>
      <c r="F1" t="s">
        <v>36</v>
      </c>
    </row>
    <row r="2" spans="1:7" x14ac:dyDescent="0.25">
      <c r="A2" t="s">
        <v>29</v>
      </c>
      <c r="B2">
        <v>0</v>
      </c>
      <c r="C2">
        <v>2</v>
      </c>
      <c r="E2">
        <v>0.2</v>
      </c>
      <c r="F2">
        <v>0</v>
      </c>
    </row>
    <row r="3" spans="1:7" x14ac:dyDescent="0.25">
      <c r="A3" t="s">
        <v>30</v>
      </c>
      <c r="B3">
        <v>1.5</v>
      </c>
      <c r="C3">
        <v>3</v>
      </c>
      <c r="E3">
        <v>0.3</v>
      </c>
      <c r="F3">
        <v>1</v>
      </c>
    </row>
    <row r="4" spans="1:7" x14ac:dyDescent="0.25">
      <c r="A4" t="s">
        <v>31</v>
      </c>
      <c r="B4">
        <v>2.5</v>
      </c>
      <c r="C4">
        <v>0</v>
      </c>
      <c r="E4">
        <v>0.4</v>
      </c>
      <c r="F4">
        <v>2</v>
      </c>
    </row>
    <row r="5" spans="1:7" x14ac:dyDescent="0.25">
      <c r="A5" t="s">
        <v>32</v>
      </c>
      <c r="B5">
        <v>9999999</v>
      </c>
      <c r="C5">
        <v>1</v>
      </c>
      <c r="E5">
        <v>9999999</v>
      </c>
      <c r="F5">
        <v>3</v>
      </c>
    </row>
    <row r="10" spans="1:7" s="5" customFormat="1" ht="60" x14ac:dyDescent="0.25">
      <c r="B10" s="5" t="s">
        <v>17</v>
      </c>
      <c r="C10" s="5" t="s">
        <v>23</v>
      </c>
      <c r="E10" s="12" t="s">
        <v>33</v>
      </c>
      <c r="F10" s="5" t="s">
        <v>27</v>
      </c>
      <c r="G10" s="5" t="s">
        <v>28</v>
      </c>
    </row>
    <row r="11" spans="1:7" x14ac:dyDescent="0.25">
      <c r="B11">
        <v>0.4</v>
      </c>
      <c r="C11" s="11">
        <v>0.2</v>
      </c>
      <c r="E11">
        <f>+(B11-C11)*10</f>
        <v>2</v>
      </c>
    </row>
    <row r="12" spans="1:7" x14ac:dyDescent="0.25">
      <c r="B12">
        <v>0.01</v>
      </c>
      <c r="C12" s="11">
        <v>0.01</v>
      </c>
      <c r="E12">
        <f t="shared" ref="E12:E18" si="0">+(B12-C12)*10</f>
        <v>0</v>
      </c>
    </row>
    <row r="13" spans="1:7" x14ac:dyDescent="0.25">
      <c r="B13">
        <v>0.05</v>
      </c>
      <c r="C13" s="11">
        <v>0.09</v>
      </c>
      <c r="E13">
        <f t="shared" si="0"/>
        <v>-0.39999999999999991</v>
      </c>
    </row>
    <row r="14" spans="1:7" x14ac:dyDescent="0.25">
      <c r="B14">
        <v>0.06</v>
      </c>
      <c r="C14" s="11">
        <v>0.8</v>
      </c>
      <c r="E14">
        <f t="shared" si="0"/>
        <v>-7.4</v>
      </c>
    </row>
    <row r="15" spans="1:7" x14ac:dyDescent="0.25">
      <c r="B15">
        <v>1</v>
      </c>
      <c r="C15" s="11">
        <v>0.1</v>
      </c>
      <c r="E15">
        <f t="shared" si="0"/>
        <v>9</v>
      </c>
    </row>
    <row r="16" spans="1:7" x14ac:dyDescent="0.25">
      <c r="B16">
        <v>0.04</v>
      </c>
      <c r="C16" s="11">
        <v>0.2</v>
      </c>
      <c r="E16">
        <f t="shared" si="0"/>
        <v>-1.6</v>
      </c>
    </row>
    <row r="17" spans="2:5" x14ac:dyDescent="0.25">
      <c r="B17">
        <v>0.04</v>
      </c>
      <c r="C17" s="11">
        <v>0.4</v>
      </c>
      <c r="E17">
        <f t="shared" si="0"/>
        <v>-3.6000000000000005</v>
      </c>
    </row>
    <row r="18" spans="2:5" x14ac:dyDescent="0.25">
      <c r="B18">
        <v>0.04</v>
      </c>
      <c r="C18" s="11">
        <v>0.4</v>
      </c>
      <c r="E18">
        <f t="shared" si="0"/>
        <v>-3.6000000000000005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genus</vt:lpstr>
      <vt:lpstr>Tables</vt:lpstr>
      <vt:lpstr>Sprite_image_simulator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 Dalmau</dc:creator>
  <cp:lastModifiedBy>Ricard Dalmau</cp:lastModifiedBy>
  <cp:lastPrinted>2021-05-10T18:45:57Z</cp:lastPrinted>
  <dcterms:created xsi:type="dcterms:W3CDTF">2015-06-05T18:19:34Z</dcterms:created>
  <dcterms:modified xsi:type="dcterms:W3CDTF">2021-08-10T13:23:25Z</dcterms:modified>
</cp:coreProperties>
</file>