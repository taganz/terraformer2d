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23188547-7EC4-4199-8F8D-133EE89781BA}" xr6:coauthVersionLast="47" xr6:coauthVersionMax="47" xr10:uidLastSave="{00000000-0000-0000-0000-000000000000}"/>
  <bookViews>
    <workbookView xWindow="8505" yWindow="165" windowWidth="2161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0" i="3" l="1"/>
  <c r="U68" i="3"/>
  <c r="U67" i="3"/>
  <c r="U63" i="3"/>
  <c r="U62" i="3"/>
  <c r="U57" i="3"/>
  <c r="U61" i="3" s="1"/>
  <c r="U52" i="3"/>
  <c r="U55" i="3" s="1"/>
  <c r="U56" i="3" s="1"/>
  <c r="U51" i="3"/>
  <c r="U9" i="3"/>
  <c r="U8" i="3"/>
  <c r="D53" i="4"/>
  <c r="D52" i="4"/>
  <c r="D51" i="4"/>
  <c r="D50" i="4"/>
  <c r="D49" i="4"/>
  <c r="D48" i="4"/>
  <c r="D47" i="4"/>
  <c r="D46" i="4"/>
  <c r="D45" i="4"/>
  <c r="V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W70" i="3"/>
  <c r="W68" i="3"/>
  <c r="W67" i="3"/>
  <c r="W62" i="3"/>
  <c r="W63" i="3" s="1"/>
  <c r="W57" i="3"/>
  <c r="W61" i="3" s="1"/>
  <c r="W52" i="3"/>
  <c r="W55" i="3" s="1"/>
  <c r="W56" i="3" s="1"/>
  <c r="W51" i="3"/>
  <c r="W9" i="3"/>
  <c r="W8" i="3"/>
  <c r="S68" i="3"/>
  <c r="S67" i="3"/>
  <c r="S62" i="3"/>
  <c r="S63" i="3" s="1"/>
  <c r="S57" i="3"/>
  <c r="S61" i="3" s="1"/>
  <c r="S52" i="3"/>
  <c r="S55" i="3" s="1"/>
  <c r="S56" i="3" s="1"/>
  <c r="S58" i="3" s="1"/>
  <c r="S60" i="3" s="1"/>
  <c r="S51" i="3"/>
  <c r="S9" i="3"/>
  <c r="S8" i="3"/>
  <c r="C68" i="3"/>
  <c r="C67" i="3"/>
  <c r="C62" i="3"/>
  <c r="C63" i="3" s="1"/>
  <c r="C52" i="3"/>
  <c r="C57" i="3" s="1"/>
  <c r="C61" i="3" s="1"/>
  <c r="C51" i="3"/>
  <c r="C9" i="3"/>
  <c r="C8" i="3"/>
  <c r="P9" i="3"/>
  <c r="V62" i="3"/>
  <c r="Q62" i="3"/>
  <c r="Q63" i="3" s="1"/>
  <c r="P62" i="3"/>
  <c r="P63" i="3" s="1"/>
  <c r="O62" i="3"/>
  <c r="R62" i="3"/>
  <c r="R63" i="3" s="1"/>
  <c r="N62" i="3"/>
  <c r="N63" i="3" s="1"/>
  <c r="M62" i="3"/>
  <c r="L62" i="3"/>
  <c r="L63" i="3" s="1"/>
  <c r="K62" i="3"/>
  <c r="K63" i="3" s="1"/>
  <c r="J62" i="3"/>
  <c r="I62" i="3"/>
  <c r="I63" i="3" s="1"/>
  <c r="H62" i="3"/>
  <c r="H63" i="3" s="1"/>
  <c r="G62" i="3"/>
  <c r="F62" i="3"/>
  <c r="F63" i="3" s="1"/>
  <c r="E62" i="3"/>
  <c r="E63" i="3" s="1"/>
  <c r="D62" i="3"/>
  <c r="D63" i="3" s="1"/>
  <c r="B62" i="3"/>
  <c r="B63" i="3" s="1"/>
  <c r="T62" i="3"/>
  <c r="T63" i="3" s="1"/>
  <c r="V57" i="3"/>
  <c r="V61" i="3" s="1"/>
  <c r="T57" i="3"/>
  <c r="T61" i="3" s="1"/>
  <c r="Q57" i="3"/>
  <c r="Q61" i="3" s="1"/>
  <c r="P57" i="3"/>
  <c r="P61" i="3" s="1"/>
  <c r="O57" i="3"/>
  <c r="O61" i="3" s="1"/>
  <c r="R57" i="3"/>
  <c r="R61" i="3" s="1"/>
  <c r="V68" i="3"/>
  <c r="V67" i="3"/>
  <c r="V52" i="3"/>
  <c r="V55" i="3" s="1"/>
  <c r="V56" i="3" s="1"/>
  <c r="V51" i="3"/>
  <c r="V9" i="3"/>
  <c r="V8" i="3"/>
  <c r="T68" i="3"/>
  <c r="Q68" i="3"/>
  <c r="P68" i="3"/>
  <c r="O68" i="3"/>
  <c r="R68" i="3"/>
  <c r="N68" i="3"/>
  <c r="M68" i="3"/>
  <c r="L68" i="3"/>
  <c r="K68" i="3"/>
  <c r="J68" i="3"/>
  <c r="I68" i="3"/>
  <c r="H68" i="3"/>
  <c r="G68" i="3"/>
  <c r="F68" i="3"/>
  <c r="E68" i="3"/>
  <c r="D68" i="3"/>
  <c r="B68" i="3"/>
  <c r="T67" i="3"/>
  <c r="Q67" i="3"/>
  <c r="P67" i="3"/>
  <c r="O67" i="3"/>
  <c r="R67" i="3"/>
  <c r="N67" i="3"/>
  <c r="M67" i="3"/>
  <c r="L67" i="3"/>
  <c r="K67" i="3"/>
  <c r="J67" i="3"/>
  <c r="I67" i="3"/>
  <c r="H67" i="3"/>
  <c r="G67" i="3"/>
  <c r="F67" i="3"/>
  <c r="E67" i="3"/>
  <c r="D67" i="3"/>
  <c r="B67" i="3"/>
  <c r="L52" i="3"/>
  <c r="L57" i="3" s="1"/>
  <c r="L61" i="3" s="1"/>
  <c r="L51" i="3"/>
  <c r="L8" i="3"/>
  <c r="L9" i="3"/>
  <c r="K52" i="3"/>
  <c r="K55" i="3" s="1"/>
  <c r="K56" i="3" s="1"/>
  <c r="K51" i="3"/>
  <c r="K8" i="3"/>
  <c r="K9" i="3"/>
  <c r="J52" i="3"/>
  <c r="J57" i="3" s="1"/>
  <c r="J61" i="3" s="1"/>
  <c r="J51" i="3"/>
  <c r="J8" i="3"/>
  <c r="J9" i="3"/>
  <c r="N52" i="3"/>
  <c r="N57" i="3" s="1"/>
  <c r="M52" i="3"/>
  <c r="M57" i="3" s="1"/>
  <c r="M61" i="3" s="1"/>
  <c r="H52" i="3"/>
  <c r="H55" i="3" s="1"/>
  <c r="H56" i="3" s="1"/>
  <c r="I52" i="3"/>
  <c r="I55" i="3" s="1"/>
  <c r="I56" i="3" s="1"/>
  <c r="G52" i="3"/>
  <c r="G55" i="3" s="1"/>
  <c r="G56" i="3" s="1"/>
  <c r="F52" i="3"/>
  <c r="F57" i="3" s="1"/>
  <c r="F61" i="3" s="1"/>
  <c r="E52" i="3"/>
  <c r="E57" i="3" s="1"/>
  <c r="E61" i="3" s="1"/>
  <c r="B52" i="3"/>
  <c r="B57" i="3" s="1"/>
  <c r="B61" i="3" s="1"/>
  <c r="D52" i="3"/>
  <c r="D55" i="3" s="1"/>
  <c r="D56" i="3" s="1"/>
  <c r="T51" i="3"/>
  <c r="Q51" i="3"/>
  <c r="P51" i="3"/>
  <c r="O51" i="3"/>
  <c r="R51" i="3"/>
  <c r="N51" i="3"/>
  <c r="M51" i="3"/>
  <c r="H51" i="3"/>
  <c r="I51" i="3"/>
  <c r="G51" i="3"/>
  <c r="F51" i="3"/>
  <c r="E51" i="3"/>
  <c r="D51" i="3"/>
  <c r="B51" i="3"/>
  <c r="T52" i="3"/>
  <c r="T55" i="3" s="1"/>
  <c r="T56" i="3" s="1"/>
  <c r="Q52" i="3"/>
  <c r="Q55" i="3" s="1"/>
  <c r="Q56" i="3" s="1"/>
  <c r="P52" i="3"/>
  <c r="P55" i="3" s="1"/>
  <c r="P56" i="3" s="1"/>
  <c r="O52" i="3"/>
  <c r="O55" i="3" s="1"/>
  <c r="O56" i="3" s="1"/>
  <c r="R52" i="3"/>
  <c r="R55" i="3" s="1"/>
  <c r="R56" i="3" s="1"/>
  <c r="Q8" i="3"/>
  <c r="Q9" i="3"/>
  <c r="B1" i="3"/>
  <c r="P8" i="3"/>
  <c r="H8" i="3"/>
  <c r="H9" i="3"/>
  <c r="E18" i="5"/>
  <c r="E17" i="5"/>
  <c r="E16" i="5"/>
  <c r="E15" i="5"/>
  <c r="E14" i="5"/>
  <c r="E13" i="5"/>
  <c r="E12" i="5"/>
  <c r="E11" i="5"/>
  <c r="E8" i="3"/>
  <c r="E9" i="3"/>
  <c r="M8" i="3"/>
  <c r="M9" i="3"/>
  <c r="G8" i="3"/>
  <c r="G9" i="3"/>
  <c r="T8" i="3"/>
  <c r="T9" i="3"/>
  <c r="O8" i="3"/>
  <c r="O9" i="3"/>
  <c r="D8" i="3"/>
  <c r="R8" i="3"/>
  <c r="N8" i="3"/>
  <c r="I8" i="3"/>
  <c r="F8" i="3"/>
  <c r="B8" i="3"/>
  <c r="R9" i="3"/>
  <c r="N9" i="3"/>
  <c r="I9" i="3"/>
  <c r="F9" i="3"/>
  <c r="D9" i="3"/>
  <c r="B9" i="3"/>
  <c r="U58" i="3" l="1"/>
  <c r="U60" i="3" s="1"/>
  <c r="W58" i="3"/>
  <c r="W60" i="3" s="1"/>
  <c r="S64" i="3"/>
  <c r="C55" i="3"/>
  <c r="C56" i="3" s="1"/>
  <c r="C58" i="3" s="1"/>
  <c r="C60" i="3" s="1"/>
  <c r="H57" i="3"/>
  <c r="H61" i="3" s="1"/>
  <c r="I57" i="3"/>
  <c r="I61" i="3" s="1"/>
  <c r="D57" i="3"/>
  <c r="D61" i="3" s="1"/>
  <c r="K57" i="3"/>
  <c r="K61" i="3" s="1"/>
  <c r="G57" i="3"/>
  <c r="G61" i="3" s="1"/>
  <c r="N61" i="3"/>
  <c r="J63" i="3"/>
  <c r="O63" i="3"/>
  <c r="G63" i="3"/>
  <c r="M63" i="3"/>
  <c r="V63" i="3"/>
  <c r="O58" i="3"/>
  <c r="O60" i="3" s="1"/>
  <c r="Q58" i="3"/>
  <c r="Q60" i="3" s="1"/>
  <c r="P58" i="3"/>
  <c r="P60" i="3" s="1"/>
  <c r="V58" i="3"/>
  <c r="V60" i="3" s="1"/>
  <c r="R58" i="3"/>
  <c r="R60" i="3" s="1"/>
  <c r="T58" i="3"/>
  <c r="T60" i="3" s="1"/>
  <c r="L55" i="3"/>
  <c r="L56" i="3" s="1"/>
  <c r="J55" i="3"/>
  <c r="J56" i="3" s="1"/>
  <c r="F55" i="3"/>
  <c r="F56" i="3" s="1"/>
  <c r="M55" i="3"/>
  <c r="M56" i="3" s="1"/>
  <c r="B55" i="3"/>
  <c r="B56" i="3" s="1"/>
  <c r="B58" i="3" s="1"/>
  <c r="E55" i="3"/>
  <c r="E56" i="3" s="1"/>
  <c r="E58" i="3" s="1"/>
  <c r="E60" i="3" s="1"/>
  <c r="N55" i="3"/>
  <c r="N56" i="3" s="1"/>
  <c r="U64" i="3" l="1"/>
  <c r="W64" i="3"/>
  <c r="D58" i="3"/>
  <c r="D60" i="3" s="1"/>
  <c r="C64" i="3"/>
  <c r="K58" i="3"/>
  <c r="K60" i="3" s="1"/>
  <c r="P64" i="3"/>
  <c r="L58" i="3"/>
  <c r="L64" i="3" s="1"/>
  <c r="M58" i="3"/>
  <c r="M64" i="3" s="1"/>
  <c r="F58" i="3"/>
  <c r="F64" i="3" s="1"/>
  <c r="Q64" i="3"/>
  <c r="G58" i="3"/>
  <c r="G60" i="3" s="1"/>
  <c r="H58" i="3"/>
  <c r="H60" i="3" s="1"/>
  <c r="N58" i="3"/>
  <c r="N64" i="3" s="1"/>
  <c r="J58" i="3"/>
  <c r="J60" i="3" s="1"/>
  <c r="I58" i="3"/>
  <c r="I60" i="3" s="1"/>
  <c r="T64" i="3"/>
  <c r="B60" i="3"/>
  <c r="B64" i="3"/>
  <c r="E64" i="3"/>
  <c r="V64" i="3"/>
  <c r="R64" i="3"/>
  <c r="G64" i="3"/>
  <c r="O64" i="3"/>
  <c r="D64" i="3"/>
  <c r="K64" i="3" l="1"/>
  <c r="J64" i="3"/>
  <c r="H64" i="3"/>
  <c r="F60" i="3"/>
  <c r="M60" i="3"/>
  <c r="N60" i="3"/>
  <c r="I64" i="3"/>
  <c r="L6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7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5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<sst xmlns="http://schemas.openxmlformats.org/spreadsheetml/2006/main" count="241" uniqueCount="167">
  <si>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</si>
  <si>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</si>
  <si>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</si>
  <si>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</si>
  <si>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</si>
  <si>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</si>
  <si>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</si>
  <si>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</si>
  <si>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</si>
  <si>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</si>
  <si>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</si>
  <si>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</si>
  <si>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</si>
  <si>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</si>
  <si>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</si>
  <si>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</si>
  <si>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</si>
  <si>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</si>
  <si>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</si>
  <si>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</si>
  <si>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</si>
  <si>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</si>
  <si>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</si>
  <si>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</si>
  <si>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</si>
  <si>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</si>
  <si>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</si>
  <si>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</si>
  <si>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</si>
  <si>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</si>
  <si>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</si>
  <si>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</si>
  <si>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</si>
  <si>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</si>
  <si>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</si>
  <si>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</si>
  <si>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</si>
  <si>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</si>
  <si>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</si>
  <si>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</si>
  <si>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</si>
  <si>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</si>
  <si>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</si>
  <si>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</si>
  <si>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</si>
  <si>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</si>
  <si>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</si>
  <si>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</si>
  <si>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</si>
  <si>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</si>
  <si>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</si>
  <si>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</si>
  <si>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</si>
  <si>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</si>
  <si>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</si>
  <si>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</si>
  <si>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</si>
  <si>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</si>
  <si>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</si>
  <si>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</si>
  <si>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</si>
  <si>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</si>
  <si>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</si>
  <si>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</si>
  <si>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</si>
  <si>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</si>
  <si>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</si>
  <si>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</si>
  <si>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</si>
  <si>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</si>
  <si>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</si>
  <si>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</si>
  <si>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</si>
  <si>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</si>
  <si>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</si>
  <si>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</si>
  <si>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</si>
  <si>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</si>
  <si>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</si>
  <si>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</si>
  <si>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</si>
  <si>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</si>
  <si>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</si>
  <si>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</si>
  <si>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</si>
  <si>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</si>
  <si>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</si>
  <si>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</si>
  <si>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</si>
  <si>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</si>
  <si>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</si>
  <si>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</si>
  <si>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</si>
  <si>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</si>
  <si>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</si>
  <si>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</si>
  <si>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</si>
  <si>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</si>
  <si>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</si>
  <si>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</si>
  <si>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</si>
  <si>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</si>
  <si>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</si>
  <si>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</si>
  <si>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</si>
  <si>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</si>
  <si>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</si>
  <si>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</si>
  <si>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</si>
  <si>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</si>
  <si>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</si>
  <si>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</si>
  <si>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</si>
  <si>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</si>
  <si>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</si>
  <si>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</si>
  <si>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</si>
  <si>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</si>
  <si>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</si>
  <si>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</si>
  <si>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</si>
  <si>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</si>
  <si>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</si>
  <si>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</si>
  <si>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</si>
  <si>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</si>
  <si>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</si>
  <si>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</si>
  <si>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</si>
  <si>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</si>
  <si>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</si>
  <si>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PRIMARY_BIG</t>
  </si>
  <si>
    <t>SECONDARY_BIG</t>
  </si>
  <si>
    <t>x</t>
  </si>
  <si>
    <t>10.png</t>
  </si>
  <si>
    <t>tamany relatiu adult</t>
  </si>
  <si>
    <t>4.png</t>
  </si>
  <si>
    <t>138_rd.png</t>
  </si>
  <si>
    <t>DEPRECATED_GENUS_OBJECT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</si>
  <si>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</si>
  <si>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</si>
  <si>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</si>
  <si>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</si>
  <si>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</si>
  <si>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</si>
  <si>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</si>
  <si>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</si>
  <si>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</si>
  <si>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</si>
  <si>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</si>
  <si>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</si>
  <si>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</si>
  <si>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</si>
  <si>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</si>
  <si>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</si>
  <si>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</si>
  <si>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</si>
  <si>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</si>
  <si>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DEPRECATED_PLANT_BODY_DENSITY</t>
  </si>
  <si>
    <t>DEPRECATED_PLANT_BODY_FORM_FACTOR</t>
  </si>
  <si>
    <t>Lloc</t>
  </si>
  <si>
    <t>1=casa, 0=no a casa</t>
  </si>
  <si>
    <t>SECONDARY_TINY</t>
  </si>
  <si>
    <t>160.png</t>
  </si>
  <si>
    <t>94_rd.png</t>
  </si>
  <si>
    <t>96_rd.png</t>
  </si>
  <si>
    <t>ROOT_HEIGHT_RATIO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</si>
</sst>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9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15" fillId="5" borderId="0" xfId="0" applyFont="1" applyFill="1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3" fillId="12" borderId="2" xfId="0" applyFont="1" applyFill="1" applyBorder="1"/>
    <xf numFmtId="0" fontId="3" fillId="12" borderId="3" xfId="0" applyFont="1" applyFill="1" applyBorder="1"/>
  </cellXfs>
  <cellStyles count="2">
    <cellStyle name="Normal" xfId="0" builtinId="0"/>
    <cellStyle name="Porcentaje" xfId="1" builtinId="5"/>
  </cellStyles>
  <dxfs count="31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0"/>
  <sheetViews>
    <sheetView tabSelected="1" zoomScaleNormal="100" workbookViewId="0">
      <pane xSplit="1" ySplit="7" topLeftCell="F16" activePane="bottomRight" state="frozen"/>
      <selection pane="topRight" activeCell="B1" sqref="B1"/>
      <selection pane="bottomLeft" activeCell="A8" sqref="A8"/>
      <selection pane="bottomRight" activeCell="M2" sqref="M2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16" max="17" width="11.5703125" customWidth="1"/>
  </cols>
  <sheetData>
    <row r="1" spans="1:23" x14ac:dyDescent="0.25">
      <c r="A1" t="s">
        <v>65</v>
      </c>
      <c r="B1" s="17">
        <f ca="1">NOW()</f>
        <v>44381.991200578705</v>
      </c>
      <c r="C1" s="17"/>
      <c r="E1" s="29" t="s">
        <v>73</v>
      </c>
      <c r="H1" s="6" t="s">
        <v>100</v>
      </c>
      <c r="I1" s="6"/>
      <c r="J1" s="6"/>
      <c r="K1" s="6"/>
      <c r="L1" s="16" t="s">
        <v>160</v>
      </c>
      <c r="M1" s="16">
        <v>1</v>
      </c>
      <c r="N1" s="16" t="s">
        <v>161</v>
      </c>
    </row>
    <row r="2" spans="1:23" x14ac:dyDescent="0.25">
      <c r="A2" s="6" t="s">
        <v>76</v>
      </c>
      <c r="B2" s="7">
        <v>180</v>
      </c>
      <c r="C2" s="7"/>
      <c r="E2" t="s">
        <v>56</v>
      </c>
    </row>
    <row r="3" spans="1:23" x14ac:dyDescent="0.25">
      <c r="A3" t="s">
        <v>60</v>
      </c>
      <c r="B3" s="1">
        <v>0.1</v>
      </c>
      <c r="C3" s="1"/>
      <c r="E3" s="16" t="s">
        <v>62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28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  <c r="W5" s="28" t="s">
        <v>6</v>
      </c>
    </row>
    <row r="6" spans="1:23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58</v>
      </c>
      <c r="B7" s="10" t="s">
        <v>11</v>
      </c>
      <c r="C7" s="10" t="s">
        <v>117</v>
      </c>
      <c r="D7" s="10" t="s">
        <v>33</v>
      </c>
      <c r="E7" s="10" t="s">
        <v>38</v>
      </c>
      <c r="F7" s="10" t="s">
        <v>74</v>
      </c>
      <c r="G7" s="10" t="s">
        <v>29</v>
      </c>
      <c r="H7" s="46" t="s">
        <v>59</v>
      </c>
      <c r="I7" s="10" t="s">
        <v>12</v>
      </c>
      <c r="J7" s="10" t="s">
        <v>13</v>
      </c>
      <c r="K7" s="10" t="s">
        <v>77</v>
      </c>
      <c r="L7" s="10" t="s">
        <v>80</v>
      </c>
      <c r="M7" s="10" t="s">
        <v>81</v>
      </c>
      <c r="N7" s="10" t="s">
        <v>37</v>
      </c>
      <c r="O7" s="10" t="s">
        <v>14</v>
      </c>
      <c r="P7" s="10" t="s">
        <v>66</v>
      </c>
      <c r="Q7" s="10" t="s">
        <v>69</v>
      </c>
      <c r="R7" s="10" t="s">
        <v>15</v>
      </c>
      <c r="S7" s="10" t="s">
        <v>131</v>
      </c>
      <c r="T7" s="10" t="s">
        <v>162</v>
      </c>
      <c r="U7" s="10" t="s">
        <v>3</v>
      </c>
      <c r="V7" s="10" t="s">
        <v>103</v>
      </c>
      <c r="W7" s="10" t="s">
        <v>132</v>
      </c>
    </row>
    <row r="8" spans="1:23" x14ac:dyDescent="0.25">
      <c r="A8" s="42" t="s">
        <v>82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22</v>
      </c>
      <c r="U8" s="2">
        <f>VLOOKUP(U7,Tabla1[#All],2,FALSE)</f>
        <v>8</v>
      </c>
      <c r="V8" s="2">
        <f>VLOOKUP(V7,Tabla1[#All],2,FALSE)</f>
        <v>18</v>
      </c>
      <c r="W8" s="2">
        <f>VLOOKUP(W7,Tabla1[#All],2,FALSE)</f>
        <v>21</v>
      </c>
    </row>
    <row r="9" spans="1:23" x14ac:dyDescent="0.25">
      <c r="A9" s="42" t="s">
        <v>7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">
        <f>VLOOKUP(G5,Tabla3[#All],2,FALSE)</f>
        <v>0</v>
      </c>
      <c r="H9" s="20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42" t="s">
        <v>143</v>
      </c>
      <c r="B10" s="65" t="s">
        <v>150</v>
      </c>
      <c r="C10" s="65" t="s">
        <v>150</v>
      </c>
      <c r="D10" s="65" t="s">
        <v>151</v>
      </c>
      <c r="E10" s="65" t="s">
        <v>151</v>
      </c>
      <c r="F10" s="65" t="s">
        <v>150</v>
      </c>
      <c r="G10" s="65" t="s">
        <v>149</v>
      </c>
      <c r="H10" s="66" t="s">
        <v>152</v>
      </c>
      <c r="I10" s="65" t="s">
        <v>149</v>
      </c>
      <c r="J10" s="65" t="s">
        <v>149</v>
      </c>
      <c r="K10" s="65" t="s">
        <v>149</v>
      </c>
      <c r="L10" s="65" t="s">
        <v>149</v>
      </c>
      <c r="M10" s="65" t="s">
        <v>149</v>
      </c>
      <c r="N10" s="65" t="s">
        <v>149</v>
      </c>
      <c r="O10" s="65" t="s">
        <v>144</v>
      </c>
      <c r="P10" s="65" t="s">
        <v>144</v>
      </c>
      <c r="Q10" s="65" t="s">
        <v>144</v>
      </c>
      <c r="R10" s="65" t="s">
        <v>145</v>
      </c>
      <c r="S10" s="65" t="s">
        <v>147</v>
      </c>
      <c r="T10" s="65" t="s">
        <v>144</v>
      </c>
      <c r="U10" s="65" t="s">
        <v>145</v>
      </c>
      <c r="V10" s="65" t="s">
        <v>146</v>
      </c>
      <c r="W10" s="65" t="s">
        <v>147</v>
      </c>
    </row>
    <row r="11" spans="1:23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s="5" customFormat="1" ht="30" x14ac:dyDescent="0.25">
      <c r="A13" s="55" t="s">
        <v>116</v>
      </c>
      <c r="B13" s="56" t="s">
        <v>126</v>
      </c>
      <c r="C13" s="56" t="s">
        <v>142</v>
      </c>
      <c r="D13" s="5" t="s">
        <v>137</v>
      </c>
      <c r="E13" s="5" t="s">
        <v>127</v>
      </c>
      <c r="F13" s="5" t="s">
        <v>140</v>
      </c>
      <c r="G13" s="5" t="s">
        <v>128</v>
      </c>
      <c r="H13" s="5" t="s">
        <v>119</v>
      </c>
      <c r="I13" s="5" t="s">
        <v>141</v>
      </c>
      <c r="J13" s="5" t="s">
        <v>139</v>
      </c>
      <c r="K13" s="5" t="s">
        <v>129</v>
      </c>
      <c r="L13" s="5" t="s">
        <v>164</v>
      </c>
      <c r="M13" s="5" t="s">
        <v>165</v>
      </c>
      <c r="N13" s="5" t="s">
        <v>130</v>
      </c>
      <c r="O13" s="5" t="s">
        <v>122</v>
      </c>
      <c r="P13" s="5" t="s">
        <v>123</v>
      </c>
      <c r="Q13" s="5" t="s">
        <v>121</v>
      </c>
      <c r="R13" s="5" t="s">
        <v>120</v>
      </c>
      <c r="S13" s="5" t="s">
        <v>134</v>
      </c>
      <c r="T13" s="5" t="s">
        <v>163</v>
      </c>
      <c r="U13" s="5" t="s">
        <v>125</v>
      </c>
      <c r="V13" s="5" t="s">
        <v>124</v>
      </c>
      <c r="W13" s="5" t="s">
        <v>136</v>
      </c>
    </row>
    <row r="14" spans="1:23" x14ac:dyDescent="0.25">
      <c r="A14" s="43" t="s">
        <v>57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  <c r="W14">
        <v>-1</v>
      </c>
    </row>
    <row r="15" spans="1:23" x14ac:dyDescent="0.25">
      <c r="A15" s="44" t="s">
        <v>25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15</v>
      </c>
      <c r="J15" s="1">
        <v>25</v>
      </c>
      <c r="K15" s="1">
        <v>40</v>
      </c>
      <c r="L15" s="1">
        <v>20</v>
      </c>
      <c r="M15" s="1">
        <v>100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15</v>
      </c>
      <c r="U15">
        <v>60</v>
      </c>
      <c r="V15">
        <v>480</v>
      </c>
      <c r="W15">
        <v>480</v>
      </c>
    </row>
    <row r="16" spans="1:23" x14ac:dyDescent="0.25">
      <c r="A16" s="45" t="s">
        <v>26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</row>
    <row r="17" spans="1:23" x14ac:dyDescent="0.25">
      <c r="A17" t="s">
        <v>17</v>
      </c>
      <c r="B17">
        <v>12</v>
      </c>
      <c r="C17">
        <v>12</v>
      </c>
      <c r="D17">
        <v>10</v>
      </c>
      <c r="E17">
        <v>10</v>
      </c>
      <c r="F17">
        <v>10</v>
      </c>
      <c r="G17">
        <v>15</v>
      </c>
      <c r="H17" s="8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5</v>
      </c>
      <c r="U17">
        <v>5</v>
      </c>
      <c r="V17">
        <v>7</v>
      </c>
      <c r="W17">
        <v>7</v>
      </c>
    </row>
    <row r="18" spans="1:23" x14ac:dyDescent="0.25">
      <c r="A18" s="21" t="s">
        <v>18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1</v>
      </c>
      <c r="T18">
        <v>0.3</v>
      </c>
      <c r="U18">
        <v>0.3</v>
      </c>
      <c r="V18">
        <v>1</v>
      </c>
      <c r="W18">
        <v>1</v>
      </c>
    </row>
    <row r="19" spans="1:23" x14ac:dyDescent="0.25">
      <c r="A19" s="22" t="s">
        <v>19</v>
      </c>
      <c r="B19">
        <v>64</v>
      </c>
      <c r="C19">
        <v>64</v>
      </c>
      <c r="D19">
        <v>100</v>
      </c>
      <c r="E19">
        <v>128</v>
      </c>
      <c r="F19">
        <v>180</v>
      </c>
      <c r="G19">
        <v>64</v>
      </c>
      <c r="H19" s="8">
        <v>110</v>
      </c>
      <c r="I19">
        <v>30</v>
      </c>
      <c r="J19">
        <v>40</v>
      </c>
      <c r="K19">
        <v>100</v>
      </c>
      <c r="L19">
        <v>60</v>
      </c>
      <c r="M19">
        <v>128</v>
      </c>
      <c r="N19">
        <v>64</v>
      </c>
      <c r="O19">
        <v>32</v>
      </c>
      <c r="P19">
        <v>32</v>
      </c>
      <c r="Q19">
        <v>48</v>
      </c>
      <c r="R19">
        <v>32</v>
      </c>
      <c r="S19">
        <v>32</v>
      </c>
      <c r="T19">
        <v>16</v>
      </c>
      <c r="U19">
        <v>16</v>
      </c>
      <c r="V19">
        <v>1</v>
      </c>
      <c r="W19">
        <v>1</v>
      </c>
    </row>
    <row r="20" spans="1:23" x14ac:dyDescent="0.25">
      <c r="A20" s="23" t="s">
        <v>32</v>
      </c>
      <c r="B20">
        <v>1</v>
      </c>
      <c r="C20">
        <v>1</v>
      </c>
      <c r="D20">
        <v>1</v>
      </c>
      <c r="E20">
        <v>1</v>
      </c>
      <c r="F20">
        <v>2</v>
      </c>
      <c r="G20">
        <v>1</v>
      </c>
      <c r="H20" s="8">
        <v>4</v>
      </c>
      <c r="I20">
        <v>2</v>
      </c>
      <c r="J20">
        <v>1</v>
      </c>
      <c r="K20">
        <v>5</v>
      </c>
      <c r="L20">
        <v>1</v>
      </c>
      <c r="M20">
        <v>1</v>
      </c>
      <c r="N20">
        <v>4</v>
      </c>
      <c r="O20">
        <v>3</v>
      </c>
      <c r="P20">
        <v>3</v>
      </c>
      <c r="Q20">
        <v>2</v>
      </c>
      <c r="R20">
        <v>2</v>
      </c>
      <c r="S20">
        <v>2</v>
      </c>
      <c r="T20">
        <v>2</v>
      </c>
      <c r="U20">
        <v>2</v>
      </c>
      <c r="V20">
        <v>1</v>
      </c>
      <c r="W20">
        <v>1</v>
      </c>
    </row>
    <row r="21" spans="1:23" x14ac:dyDescent="0.25">
      <c r="A21" s="21" t="s">
        <v>63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8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64</v>
      </c>
      <c r="B22">
        <v>3</v>
      </c>
      <c r="C22">
        <v>3</v>
      </c>
      <c r="D22">
        <v>3</v>
      </c>
      <c r="E22">
        <v>3</v>
      </c>
      <c r="F22">
        <v>3</v>
      </c>
      <c r="G22">
        <v>1</v>
      </c>
      <c r="H22" s="8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105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6">
        <v>32</v>
      </c>
      <c r="P23" s="6">
        <v>32</v>
      </c>
      <c r="Q23" s="6">
        <v>32</v>
      </c>
      <c r="R23" s="6">
        <v>32</v>
      </c>
      <c r="S23" s="6">
        <v>32</v>
      </c>
      <c r="T23">
        <v>128</v>
      </c>
      <c r="U23">
        <v>64</v>
      </c>
      <c r="V23">
        <v>128</v>
      </c>
      <c r="W23">
        <v>128</v>
      </c>
    </row>
    <row r="24" spans="1:23" x14ac:dyDescent="0.25">
      <c r="A24" s="22" t="s">
        <v>109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2</v>
      </c>
      <c r="P24">
        <v>5</v>
      </c>
      <c r="Q24">
        <v>5</v>
      </c>
      <c r="R24">
        <v>5</v>
      </c>
      <c r="S24">
        <v>5</v>
      </c>
      <c r="T24">
        <v>5</v>
      </c>
      <c r="U24">
        <v>5</v>
      </c>
      <c r="V24">
        <v>10</v>
      </c>
      <c r="W24">
        <v>10</v>
      </c>
    </row>
    <row r="25" spans="1:23" x14ac:dyDescent="0.25">
      <c r="A25" s="22" t="s">
        <v>110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3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20</v>
      </c>
      <c r="V25">
        <v>20</v>
      </c>
      <c r="W25">
        <v>20</v>
      </c>
    </row>
    <row r="26" spans="1:23" x14ac:dyDescent="0.25">
      <c r="A26" s="23" t="s">
        <v>22</v>
      </c>
      <c r="B26">
        <v>400</v>
      </c>
      <c r="C26">
        <v>400</v>
      </c>
      <c r="D26">
        <v>400</v>
      </c>
      <c r="E26">
        <v>400</v>
      </c>
      <c r="F26">
        <v>400</v>
      </c>
      <c r="G26">
        <v>8</v>
      </c>
      <c r="H26" s="8">
        <v>500</v>
      </c>
      <c r="I26">
        <v>6</v>
      </c>
      <c r="J26">
        <v>10</v>
      </c>
      <c r="K26">
        <v>20</v>
      </c>
      <c r="L26">
        <v>10</v>
      </c>
      <c r="M26">
        <v>50</v>
      </c>
      <c r="N26">
        <v>10</v>
      </c>
      <c r="O26">
        <v>1</v>
      </c>
      <c r="P26">
        <v>3</v>
      </c>
      <c r="Q26">
        <v>6</v>
      </c>
      <c r="R26">
        <v>12</v>
      </c>
      <c r="S26">
        <v>12</v>
      </c>
      <c r="T26">
        <v>8</v>
      </c>
      <c r="U26">
        <v>30</v>
      </c>
      <c r="V26">
        <v>250</v>
      </c>
      <c r="W26">
        <v>250</v>
      </c>
    </row>
    <row r="27" spans="1:23" x14ac:dyDescent="0.25">
      <c r="A27" s="8" t="s">
        <v>75</v>
      </c>
      <c r="B27" s="8">
        <v>8</v>
      </c>
      <c r="C27" s="8">
        <v>8</v>
      </c>
      <c r="D27" s="8">
        <v>20</v>
      </c>
      <c r="E27" s="8">
        <v>15</v>
      </c>
      <c r="F27" s="8">
        <v>10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1</v>
      </c>
      <c r="U27" s="8">
        <v>2</v>
      </c>
      <c r="V27" s="8">
        <v>2</v>
      </c>
      <c r="W27" s="8">
        <v>2</v>
      </c>
    </row>
    <row r="28" spans="1:23" x14ac:dyDescent="0.25">
      <c r="A28" s="8" t="s">
        <v>166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</v>
      </c>
      <c r="H28" s="8">
        <v>20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44</v>
      </c>
      <c r="B29" s="29">
        <v>0</v>
      </c>
      <c r="C29" s="29">
        <v>0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20</v>
      </c>
      <c r="B30">
        <v>0.1</v>
      </c>
      <c r="C30">
        <v>0.1</v>
      </c>
      <c r="D30">
        <v>0.1</v>
      </c>
      <c r="E30">
        <v>7.0000000000000007E-2</v>
      </c>
      <c r="F30">
        <v>0.03</v>
      </c>
      <c r="G30">
        <v>0.2</v>
      </c>
      <c r="H30" s="8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72</v>
      </c>
      <c r="B31">
        <v>0.6</v>
      </c>
      <c r="C31">
        <v>0.6</v>
      </c>
      <c r="D31">
        <v>0.5</v>
      </c>
      <c r="E31">
        <v>0.5</v>
      </c>
      <c r="F31">
        <v>0.5</v>
      </c>
      <c r="G31">
        <v>0.6</v>
      </c>
      <c r="H31">
        <v>0.6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0.6</v>
      </c>
      <c r="O31">
        <v>0.8</v>
      </c>
      <c r="P31">
        <v>0.9</v>
      </c>
      <c r="Q31">
        <v>0.5</v>
      </c>
      <c r="R31">
        <v>0.8</v>
      </c>
      <c r="S31">
        <v>0.8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4" t="s">
        <v>45</v>
      </c>
      <c r="B32" s="30">
        <v>0.5</v>
      </c>
      <c r="C32" s="30">
        <v>0.5</v>
      </c>
      <c r="D32" s="30">
        <v>1</v>
      </c>
      <c r="E32" s="30">
        <v>1</v>
      </c>
      <c r="F32" s="30">
        <v>1</v>
      </c>
      <c r="G32" s="30">
        <v>0.5</v>
      </c>
      <c r="H32" s="30">
        <v>1</v>
      </c>
      <c r="I32" s="30">
        <v>1.2</v>
      </c>
      <c r="J32" s="30">
        <v>1.2</v>
      </c>
      <c r="K32" s="30">
        <v>1.3</v>
      </c>
      <c r="L32" s="30">
        <v>1.3</v>
      </c>
      <c r="M32" s="30">
        <v>1.2</v>
      </c>
      <c r="N32" s="30">
        <v>1.5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5" t="s">
        <v>67</v>
      </c>
      <c r="B33" s="30">
        <v>0.8</v>
      </c>
      <c r="C33" s="30">
        <v>0.8</v>
      </c>
      <c r="D33" s="30">
        <v>0.9</v>
      </c>
      <c r="E33" s="30">
        <v>0.7</v>
      </c>
      <c r="F33" s="30">
        <v>0.4</v>
      </c>
      <c r="G33" s="31">
        <v>0.5</v>
      </c>
      <c r="H33" s="32">
        <v>0.15</v>
      </c>
      <c r="I33" s="30">
        <v>0.4</v>
      </c>
      <c r="J33" s="30">
        <v>0.04</v>
      </c>
      <c r="K33" s="30">
        <v>0.04</v>
      </c>
      <c r="L33" s="30">
        <v>0.04</v>
      </c>
      <c r="M33" s="30">
        <v>0.4</v>
      </c>
      <c r="N33" s="30">
        <v>0.04</v>
      </c>
      <c r="O33" s="30">
        <v>0.7</v>
      </c>
      <c r="P33" s="30">
        <v>0.7</v>
      </c>
      <c r="Q33" s="30">
        <v>0.3</v>
      </c>
      <c r="R33" s="33">
        <v>0.6</v>
      </c>
      <c r="S33" s="33">
        <v>0.6</v>
      </c>
      <c r="T33" s="30">
        <v>1.3</v>
      </c>
      <c r="U33" s="30">
        <v>1.3</v>
      </c>
      <c r="V33" s="30">
        <v>0.3</v>
      </c>
      <c r="W33" s="30">
        <v>0.3</v>
      </c>
    </row>
    <row r="34" spans="1:23" x14ac:dyDescent="0.25">
      <c r="A34" s="36" t="s">
        <v>40</v>
      </c>
      <c r="B34" s="30">
        <v>0.4</v>
      </c>
      <c r="C34" s="30">
        <v>0.4</v>
      </c>
      <c r="D34" s="30">
        <v>0.7</v>
      </c>
      <c r="E34" s="30">
        <v>0.5</v>
      </c>
      <c r="F34" s="30">
        <v>0.2</v>
      </c>
      <c r="G34" s="31">
        <v>0.5</v>
      </c>
      <c r="H34" s="32">
        <v>0.1</v>
      </c>
      <c r="I34" s="31">
        <v>0.3</v>
      </c>
      <c r="J34" s="30">
        <v>0.4</v>
      </c>
      <c r="K34" s="30">
        <v>0.5</v>
      </c>
      <c r="L34" s="30">
        <v>0.6</v>
      </c>
      <c r="M34" s="30">
        <v>0.3</v>
      </c>
      <c r="N34" s="30">
        <v>0.4</v>
      </c>
      <c r="O34" s="30">
        <v>7.0000000000000007E-2</v>
      </c>
      <c r="P34" s="30">
        <v>7.0000000000000007E-2</v>
      </c>
      <c r="Q34" s="30">
        <v>0.06</v>
      </c>
      <c r="R34" s="33">
        <v>0.08</v>
      </c>
      <c r="S34" s="33">
        <v>0.08</v>
      </c>
      <c r="T34" s="30">
        <v>0.1</v>
      </c>
      <c r="U34" s="30">
        <v>0.1</v>
      </c>
      <c r="V34" s="30">
        <v>0.02</v>
      </c>
      <c r="W34" s="30">
        <v>0.02</v>
      </c>
    </row>
    <row r="35" spans="1:23" x14ac:dyDescent="0.25">
      <c r="A35" s="37" t="s">
        <v>23</v>
      </c>
      <c r="B35" s="1">
        <v>20</v>
      </c>
      <c r="C35" s="1">
        <v>20</v>
      </c>
      <c r="D35" s="1">
        <v>24</v>
      </c>
      <c r="E35" s="1">
        <v>20</v>
      </c>
      <c r="F35" s="1">
        <v>27</v>
      </c>
      <c r="G35" s="1">
        <v>20</v>
      </c>
      <c r="H35" s="9">
        <v>20</v>
      </c>
      <c r="I35" s="1">
        <v>25</v>
      </c>
      <c r="J35" s="1">
        <v>20</v>
      </c>
      <c r="K35" s="1">
        <v>20</v>
      </c>
      <c r="L35" s="1">
        <v>20</v>
      </c>
      <c r="M35" s="1">
        <v>20</v>
      </c>
      <c r="N35" s="1">
        <v>-10</v>
      </c>
      <c r="O35" s="7">
        <v>15</v>
      </c>
      <c r="P35" s="7">
        <v>15</v>
      </c>
      <c r="Q35" s="7">
        <v>15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</row>
    <row r="36" spans="1:23" x14ac:dyDescent="0.25">
      <c r="A36" s="38" t="s">
        <v>31</v>
      </c>
      <c r="B36" s="1">
        <v>8</v>
      </c>
      <c r="C36" s="1">
        <v>8</v>
      </c>
      <c r="D36" s="1">
        <v>3</v>
      </c>
      <c r="E36" s="9">
        <v>5</v>
      </c>
      <c r="F36" s="1">
        <v>5</v>
      </c>
      <c r="G36" s="1">
        <v>10</v>
      </c>
      <c r="H36" s="9">
        <v>10</v>
      </c>
      <c r="I36" s="1">
        <v>8</v>
      </c>
      <c r="J36" s="1">
        <v>5</v>
      </c>
      <c r="K36" s="1">
        <v>5</v>
      </c>
      <c r="L36" s="1">
        <v>5</v>
      </c>
      <c r="M36" s="1">
        <v>10</v>
      </c>
      <c r="N36" s="1">
        <v>20</v>
      </c>
      <c r="O36" s="7">
        <v>15</v>
      </c>
      <c r="P36" s="7">
        <v>15</v>
      </c>
      <c r="Q36" s="7">
        <v>14</v>
      </c>
      <c r="R36" s="7">
        <v>50</v>
      </c>
      <c r="S36" s="7">
        <v>50</v>
      </c>
      <c r="T36" s="7">
        <v>50</v>
      </c>
      <c r="U36" s="7">
        <v>50</v>
      </c>
      <c r="V36" s="7">
        <v>50</v>
      </c>
      <c r="W36" s="7">
        <v>50</v>
      </c>
    </row>
    <row r="37" spans="1:23" x14ac:dyDescent="0.25">
      <c r="A37" s="39" t="s">
        <v>41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9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</row>
    <row r="38" spans="1:23" x14ac:dyDescent="0.25">
      <c r="A38" s="40" t="s">
        <v>42</v>
      </c>
      <c r="B38" s="9">
        <v>0.9</v>
      </c>
      <c r="C38" s="9">
        <v>0.9</v>
      </c>
      <c r="D38" s="9">
        <v>0.9</v>
      </c>
      <c r="E38" s="9">
        <v>0.7</v>
      </c>
      <c r="F38" s="9">
        <v>0.7</v>
      </c>
      <c r="G38" s="9">
        <v>0.1</v>
      </c>
      <c r="H38" s="9">
        <v>0.7</v>
      </c>
      <c r="I38" s="9">
        <v>0.7</v>
      </c>
      <c r="J38" s="9">
        <v>0.7</v>
      </c>
      <c r="K38" s="9">
        <v>0.7</v>
      </c>
      <c r="L38" s="9">
        <v>0.7</v>
      </c>
      <c r="M38" s="9">
        <v>0.7</v>
      </c>
      <c r="N38" s="9">
        <v>0.9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 x14ac:dyDescent="0.25">
      <c r="A39" s="41" t="s">
        <v>43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9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</row>
    <row r="40" spans="1:23" x14ac:dyDescent="0.25">
      <c r="A40" s="6" t="s">
        <v>27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8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5">
      <c r="A41" s="25" t="s">
        <v>68</v>
      </c>
      <c r="B41" s="6">
        <v>3</v>
      </c>
      <c r="C41" s="6">
        <v>3</v>
      </c>
      <c r="D41" s="6">
        <v>5</v>
      </c>
      <c r="E41" s="6">
        <v>5</v>
      </c>
      <c r="F41" s="6">
        <v>5</v>
      </c>
      <c r="G41" s="6">
        <v>4</v>
      </c>
      <c r="H41" s="6">
        <v>200</v>
      </c>
      <c r="I41" s="6">
        <v>4</v>
      </c>
      <c r="J41" s="6">
        <v>4</v>
      </c>
      <c r="K41" s="6">
        <v>4</v>
      </c>
      <c r="L41" s="6">
        <v>4</v>
      </c>
      <c r="M41" s="6">
        <v>4</v>
      </c>
      <c r="N41" s="6">
        <v>0.2</v>
      </c>
      <c r="O41" s="6">
        <v>0.5</v>
      </c>
      <c r="P41" s="6">
        <v>0.5</v>
      </c>
      <c r="Q41" s="6">
        <v>0.2</v>
      </c>
      <c r="R41" s="6">
        <v>2</v>
      </c>
      <c r="S41" s="6">
        <v>2</v>
      </c>
      <c r="T41" s="6">
        <v>5</v>
      </c>
      <c r="U41" s="6">
        <v>5</v>
      </c>
      <c r="V41" s="6">
        <v>5</v>
      </c>
      <c r="W41" s="6">
        <v>5</v>
      </c>
    </row>
    <row r="42" spans="1:23" s="6" customFormat="1" ht="23.25" x14ac:dyDescent="0.25">
      <c r="A42" s="6" t="s">
        <v>138</v>
      </c>
      <c r="B42" s="58" t="s">
        <v>83</v>
      </c>
      <c r="C42" s="58" t="s">
        <v>118</v>
      </c>
      <c r="D42" s="58" t="s">
        <v>84</v>
      </c>
      <c r="E42" s="58" t="s">
        <v>85</v>
      </c>
      <c r="F42" s="58" t="s">
        <v>86</v>
      </c>
      <c r="G42" s="58" t="s">
        <v>87</v>
      </c>
      <c r="H42" s="58" t="s">
        <v>88</v>
      </c>
      <c r="I42" s="58" t="s">
        <v>89</v>
      </c>
      <c r="J42" s="58" t="s">
        <v>90</v>
      </c>
      <c r="K42" s="58" t="s">
        <v>91</v>
      </c>
      <c r="L42" s="58" t="s">
        <v>92</v>
      </c>
      <c r="M42" s="58" t="s">
        <v>93</v>
      </c>
      <c r="N42" s="58" t="s">
        <v>94</v>
      </c>
      <c r="O42" s="58" t="s">
        <v>96</v>
      </c>
      <c r="P42" s="58" t="s">
        <v>97</v>
      </c>
      <c r="Q42" s="58" t="s">
        <v>98</v>
      </c>
      <c r="R42" s="58" t="s">
        <v>95</v>
      </c>
      <c r="S42" s="58" t="s">
        <v>133</v>
      </c>
      <c r="T42" s="58" t="s">
        <v>99</v>
      </c>
      <c r="U42" s="58" t="s">
        <v>99</v>
      </c>
      <c r="V42" s="58" t="s">
        <v>104</v>
      </c>
      <c r="W42" s="58" t="s">
        <v>133</v>
      </c>
    </row>
    <row r="43" spans="1:23" s="6" customFormat="1" x14ac:dyDescent="0.25">
      <c r="A43" s="67" t="s">
        <v>158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 s="6" customFormat="1" x14ac:dyDescent="0.25">
      <c r="A44" s="68" t="s">
        <v>159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 x14ac:dyDescent="0.25">
      <c r="A45" s="6"/>
    </row>
    <row r="46" spans="1:23" x14ac:dyDescent="0.25">
      <c r="A46" s="6"/>
      <c r="H46" s="6"/>
    </row>
    <row r="47" spans="1:23" x14ac:dyDescent="0.25">
      <c r="A47" s="6"/>
      <c r="H47" s="6"/>
    </row>
    <row r="48" spans="1:23" x14ac:dyDescent="0.25">
      <c r="A48" s="3" t="s">
        <v>1</v>
      </c>
      <c r="B48" s="4"/>
      <c r="C48" s="4"/>
      <c r="D48" s="4"/>
      <c r="E48" s="4"/>
      <c r="F48" s="4"/>
      <c r="G48" s="4"/>
      <c r="H48" s="13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1:23" s="5" customFormat="1" ht="45" x14ac:dyDescent="0.25">
      <c r="A49" s="5" t="s">
        <v>34</v>
      </c>
      <c r="F49" s="14" t="s">
        <v>39</v>
      </c>
      <c r="G49" s="14" t="s">
        <v>35</v>
      </c>
      <c r="H49" s="14"/>
      <c r="I49" s="14"/>
      <c r="J49" s="14"/>
      <c r="K49" s="14"/>
      <c r="L49" s="14"/>
      <c r="M49" s="14"/>
      <c r="N49" s="14" t="s">
        <v>36</v>
      </c>
    </row>
    <row r="50" spans="1:23" x14ac:dyDescent="0.25">
      <c r="H50" s="6"/>
    </row>
    <row r="51" spans="1:23" x14ac:dyDescent="0.25">
      <c r="A51" t="s">
        <v>71</v>
      </c>
      <c r="B51" s="26" t="str">
        <f t="shared" ref="B51:W51" si="0">+B5</f>
        <v>PRODUCER</v>
      </c>
      <c r="C51" s="26" t="str">
        <f t="shared" si="0"/>
        <v>PRODUCER</v>
      </c>
      <c r="D51" s="26" t="str">
        <f t="shared" si="0"/>
        <v>PRODUCER</v>
      </c>
      <c r="E51" s="26" t="str">
        <f t="shared" si="0"/>
        <v>PRODUCER</v>
      </c>
      <c r="F51" s="26" t="str">
        <f t="shared" si="0"/>
        <v>PRODUCER</v>
      </c>
      <c r="G51" s="26" t="str">
        <f t="shared" si="0"/>
        <v>PRODUCER</v>
      </c>
      <c r="H51" s="26" t="str">
        <f t="shared" si="0"/>
        <v>PRODUCER</v>
      </c>
      <c r="I51" s="26" t="str">
        <f t="shared" si="0"/>
        <v>PRODUCER</v>
      </c>
      <c r="J51" s="26" t="str">
        <f t="shared" si="0"/>
        <v>PRODUCER</v>
      </c>
      <c r="K51" s="26" t="str">
        <f t="shared" si="0"/>
        <v>PRODUCER</v>
      </c>
      <c r="L51" s="26" t="str">
        <f t="shared" si="0"/>
        <v>PRODUCER</v>
      </c>
      <c r="M51" s="26" t="str">
        <f t="shared" si="0"/>
        <v>PRODUCER</v>
      </c>
      <c r="N51" s="26" t="str">
        <f t="shared" si="0"/>
        <v>PRODUCER</v>
      </c>
      <c r="O51" s="27" t="str">
        <f t="shared" si="0"/>
        <v>PRIMARY</v>
      </c>
      <c r="P51" s="27" t="str">
        <f t="shared" si="0"/>
        <v>PRIMARY</v>
      </c>
      <c r="Q51" s="27" t="str">
        <f t="shared" si="0"/>
        <v>PRIMARY</v>
      </c>
      <c r="R51" s="27" t="str">
        <f t="shared" si="0"/>
        <v>PRIMARY</v>
      </c>
      <c r="S51" s="27" t="str">
        <f t="shared" si="0"/>
        <v>PRIMARY</v>
      </c>
      <c r="T51" s="28" t="str">
        <f t="shared" si="0"/>
        <v>SECONDARY</v>
      </c>
      <c r="U51" s="28" t="str">
        <f t="shared" ref="U51" si="1">+U5</f>
        <v>SECONDARY</v>
      </c>
      <c r="V51" s="28" t="str">
        <f t="shared" si="0"/>
        <v>SECONDARY</v>
      </c>
      <c r="W51" s="28" t="str">
        <f t="shared" si="0"/>
        <v>SECONDARY</v>
      </c>
    </row>
    <row r="52" spans="1:23" x14ac:dyDescent="0.25">
      <c r="A52" t="s">
        <v>30</v>
      </c>
      <c r="B52" s="15">
        <f t="shared" ref="B52:C52" si="2">+B34/B33/$B$2/$B$3</f>
        <v>2.7777777777777776E-2</v>
      </c>
      <c r="C52" s="15">
        <f t="shared" si="2"/>
        <v>2.7777777777777776E-2</v>
      </c>
      <c r="D52" s="15">
        <f>+D34/D33/$B$2/$B$3</f>
        <v>4.3209876543209867E-2</v>
      </c>
      <c r="E52" s="15">
        <f t="shared" ref="E52:N52" si="3">+E34/E33/$B$2/$B$3</f>
        <v>3.968253968253968E-2</v>
      </c>
      <c r="F52" s="15">
        <f t="shared" si="3"/>
        <v>2.7777777777777776E-2</v>
      </c>
      <c r="G52" s="15">
        <f t="shared" si="3"/>
        <v>5.5555555555555552E-2</v>
      </c>
      <c r="H52" s="15">
        <f t="shared" si="3"/>
        <v>3.7037037037037042E-2</v>
      </c>
      <c r="I52" s="15">
        <f>+I34/I33/$B$2/$B$3</f>
        <v>4.1666666666666657E-2</v>
      </c>
      <c r="J52" s="15">
        <f t="shared" ref="J52:L52" si="4">+J34/J33/$B$2/$B$3</f>
        <v>0.55555555555555547</v>
      </c>
      <c r="K52" s="15">
        <f t="shared" si="4"/>
        <v>0.69444444444444442</v>
      </c>
      <c r="L52" s="15">
        <f t="shared" si="4"/>
        <v>0.83333333333333326</v>
      </c>
      <c r="M52" s="15">
        <f t="shared" si="3"/>
        <v>4.1666666666666657E-2</v>
      </c>
      <c r="N52" s="15">
        <f t="shared" si="3"/>
        <v>0.55555555555555547</v>
      </c>
      <c r="O52" s="53">
        <f t="shared" ref="O52:V52" si="5">+O29</f>
        <v>0.3</v>
      </c>
      <c r="P52" s="53">
        <f t="shared" si="5"/>
        <v>0.4</v>
      </c>
      <c r="Q52" s="53">
        <f t="shared" si="5"/>
        <v>0.3</v>
      </c>
      <c r="R52" s="53">
        <f>+R29</f>
        <v>0.3</v>
      </c>
      <c r="S52" s="53">
        <f>+S29</f>
        <v>0.3</v>
      </c>
      <c r="T52" s="53">
        <f t="shared" si="5"/>
        <v>0.4</v>
      </c>
      <c r="U52" s="53">
        <f t="shared" ref="U52" si="6">+U29</f>
        <v>0.4</v>
      </c>
      <c r="V52" s="53">
        <f t="shared" si="5"/>
        <v>0.15</v>
      </c>
      <c r="W52" s="53">
        <f t="shared" ref="W52" si="7">+W29</f>
        <v>0.15</v>
      </c>
    </row>
    <row r="53" spans="1:23" x14ac:dyDescent="0.25">
      <c r="H53" s="6"/>
    </row>
    <row r="54" spans="1:23" x14ac:dyDescent="0.25">
      <c r="A54" t="s">
        <v>106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 s="52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</row>
    <row r="55" spans="1:23" x14ac:dyDescent="0.25">
      <c r="A55" t="s">
        <v>108</v>
      </c>
      <c r="B55" s="18">
        <f>+B52*B26*$B$3*$B$2*B32</f>
        <v>100</v>
      </c>
      <c r="C55" s="18">
        <f>+C52*C26*$B$3*$B$2*C32</f>
        <v>100</v>
      </c>
      <c r="D55" s="18">
        <f t="shared" ref="D55:N55" si="8">+D52*D26*$B$3*$B$2*D32</f>
        <v>311.11111111111103</v>
      </c>
      <c r="E55" s="18">
        <f t="shared" si="8"/>
        <v>285.71428571428572</v>
      </c>
      <c r="F55" s="18">
        <f t="shared" si="8"/>
        <v>200</v>
      </c>
      <c r="G55" s="18">
        <f t="shared" si="8"/>
        <v>4</v>
      </c>
      <c r="H55" s="18">
        <f t="shared" si="8"/>
        <v>333.33333333333343</v>
      </c>
      <c r="I55" s="18">
        <f>+I52*I26*$B$3*$B$2*I32</f>
        <v>5.3999999999999986</v>
      </c>
      <c r="J55" s="18">
        <f t="shared" ref="J55:L55" si="9">+J52*J26*$B$3*$B$2*J32</f>
        <v>119.99999999999997</v>
      </c>
      <c r="K55" s="18">
        <f t="shared" si="9"/>
        <v>325.00000000000006</v>
      </c>
      <c r="L55" s="18">
        <f t="shared" si="9"/>
        <v>195</v>
      </c>
      <c r="M55" s="18">
        <f t="shared" si="8"/>
        <v>45</v>
      </c>
      <c r="N55" s="18">
        <f t="shared" si="8"/>
        <v>149.99999999999997</v>
      </c>
      <c r="O55" s="47">
        <f t="shared" ref="O55:V55" si="10">+O52*O26</f>
        <v>0.3</v>
      </c>
      <c r="P55" s="47">
        <f t="shared" si="10"/>
        <v>1.2000000000000002</v>
      </c>
      <c r="Q55" s="47">
        <f t="shared" si="10"/>
        <v>1.7999999999999998</v>
      </c>
      <c r="R55" s="47">
        <f>+R52*R26</f>
        <v>3.5999999999999996</v>
      </c>
      <c r="S55" s="47">
        <f>+S52*S26</f>
        <v>3.5999999999999996</v>
      </c>
      <c r="T55" s="47">
        <f t="shared" si="10"/>
        <v>3.2</v>
      </c>
      <c r="U55" s="47">
        <f t="shared" ref="U55" si="11">+U52*U26</f>
        <v>12</v>
      </c>
      <c r="V55" s="47">
        <f t="shared" si="10"/>
        <v>37.5</v>
      </c>
      <c r="W55" s="47">
        <f t="shared" ref="W55" si="12">+W52*W26</f>
        <v>37.5</v>
      </c>
    </row>
    <row r="56" spans="1:23" x14ac:dyDescent="0.25">
      <c r="A56" t="s">
        <v>61</v>
      </c>
      <c r="B56" s="48">
        <f t="shared" ref="B56:Q56" si="13">+B55*B33/B54</f>
        <v>80</v>
      </c>
      <c r="C56" s="48">
        <f t="shared" ref="C56" si="14">+C55*C33/C54</f>
        <v>80</v>
      </c>
      <c r="D56" s="48">
        <f t="shared" si="13"/>
        <v>279.99999999999994</v>
      </c>
      <c r="E56" s="48">
        <f t="shared" si="13"/>
        <v>200</v>
      </c>
      <c r="F56" s="50">
        <f t="shared" si="13"/>
        <v>80</v>
      </c>
      <c r="G56" s="50">
        <f t="shared" si="13"/>
        <v>2</v>
      </c>
      <c r="H56" s="50">
        <f t="shared" si="13"/>
        <v>50.000000000000014</v>
      </c>
      <c r="I56" s="50">
        <f t="shared" si="13"/>
        <v>2.1599999999999997</v>
      </c>
      <c r="J56" s="50">
        <f t="shared" si="13"/>
        <v>4.7999999999999989</v>
      </c>
      <c r="K56" s="50">
        <f t="shared" si="13"/>
        <v>13.000000000000002</v>
      </c>
      <c r="L56" s="50">
        <f t="shared" si="13"/>
        <v>7.8</v>
      </c>
      <c r="M56" s="50">
        <f t="shared" si="13"/>
        <v>18</v>
      </c>
      <c r="N56" s="50">
        <f t="shared" si="13"/>
        <v>5.9999999999999991</v>
      </c>
      <c r="O56" s="50">
        <f t="shared" si="13"/>
        <v>2.0999999999999998E-2</v>
      </c>
      <c r="P56" s="50">
        <f t="shared" si="13"/>
        <v>8.4000000000000005E-2</v>
      </c>
      <c r="Q56" s="50">
        <f t="shared" si="13"/>
        <v>5.3999999999999992E-2</v>
      </c>
      <c r="R56" s="50">
        <f>+R55*R33/R54</f>
        <v>0.21599999999999997</v>
      </c>
      <c r="S56" s="50">
        <f>+S55*S33/S54</f>
        <v>0.21599999999999997</v>
      </c>
      <c r="T56" s="50">
        <f>+T55*T33/T54</f>
        <v>0.41600000000000004</v>
      </c>
      <c r="U56" s="50">
        <f>+U55*U33/U54</f>
        <v>1.56</v>
      </c>
      <c r="V56" s="50">
        <f t="shared" ref="V56:W56" si="15">+V55*V33/V54</f>
        <v>1.125</v>
      </c>
      <c r="W56" s="50">
        <f t="shared" si="15"/>
        <v>1.125</v>
      </c>
    </row>
    <row r="57" spans="1:23" x14ac:dyDescent="0.25">
      <c r="A57" t="s">
        <v>107</v>
      </c>
      <c r="B57" s="50">
        <f t="shared" ref="B57:G57" si="16">+B34*B26*(1-B52)/B54</f>
        <v>155.55555555555554</v>
      </c>
      <c r="C57" s="50">
        <f t="shared" ref="C57" si="17">+C34*C26*(1-C52)/C54</f>
        <v>155.55555555555554</v>
      </c>
      <c r="D57" s="50">
        <f t="shared" si="16"/>
        <v>267.90123456790127</v>
      </c>
      <c r="E57" s="50">
        <f t="shared" si="16"/>
        <v>192.06349206349208</v>
      </c>
      <c r="F57" s="50">
        <f t="shared" si="16"/>
        <v>77.777777777777771</v>
      </c>
      <c r="G57" s="50">
        <f t="shared" si="16"/>
        <v>3.7777777777777777</v>
      </c>
      <c r="H57" s="50">
        <f>+H34*H26*(1-H52)/H54</f>
        <v>48.148148148148145</v>
      </c>
      <c r="I57" s="50">
        <f t="shared" ref="I57:N57" si="18">+I34*I26*(1-I52)/I54</f>
        <v>1.7249999999999999</v>
      </c>
      <c r="J57" s="50">
        <f t="shared" si="18"/>
        <v>1.7777777777777781</v>
      </c>
      <c r="K57" s="50">
        <f t="shared" si="18"/>
        <v>3.0555555555555558</v>
      </c>
      <c r="L57" s="50">
        <f t="shared" si="18"/>
        <v>1.0000000000000004</v>
      </c>
      <c r="M57" s="50">
        <f t="shared" si="18"/>
        <v>14.375</v>
      </c>
      <c r="N57" s="50">
        <f t="shared" si="18"/>
        <v>1.7777777777777781</v>
      </c>
      <c r="O57" s="50">
        <f t="shared" ref="O57:V57" si="19">+O34*O26*(1-O29)/O54</f>
        <v>4.8999999999999998E-3</v>
      </c>
      <c r="P57" s="50">
        <f t="shared" si="19"/>
        <v>1.26E-2</v>
      </c>
      <c r="Q57" s="50">
        <f t="shared" si="19"/>
        <v>2.52E-2</v>
      </c>
      <c r="R57" s="50">
        <f>+R34*R26*(1-R29)/R54</f>
        <v>6.7199999999999996E-2</v>
      </c>
      <c r="S57" s="50">
        <f>+S34*S26*(1-S29)/S54</f>
        <v>6.7199999999999996E-2</v>
      </c>
      <c r="T57" s="50">
        <f t="shared" si="19"/>
        <v>4.8000000000000001E-2</v>
      </c>
      <c r="U57" s="50">
        <f t="shared" ref="U57" si="20">+U34*U26*(1-U29)/U54</f>
        <v>0.18</v>
      </c>
      <c r="V57" s="50">
        <f t="shared" si="19"/>
        <v>0.42499999999999999</v>
      </c>
      <c r="W57" s="50">
        <f t="shared" ref="W57" si="21">+W34*W26*(1-W29)/W54</f>
        <v>0.42499999999999999</v>
      </c>
    </row>
    <row r="58" spans="1:23" x14ac:dyDescent="0.25">
      <c r="A58" t="s">
        <v>114</v>
      </c>
      <c r="B58" s="48">
        <f>+B56-B57</f>
        <v>-75.555555555555543</v>
      </c>
      <c r="C58" s="48">
        <f>+C56-C57</f>
        <v>-75.555555555555543</v>
      </c>
      <c r="D58" s="48">
        <f t="shared" ref="D58:T58" si="22">+D56-D57</f>
        <v>12.098765432098674</v>
      </c>
      <c r="E58" s="48">
        <f t="shared" si="22"/>
        <v>7.9365079365079225</v>
      </c>
      <c r="F58" s="50">
        <f t="shared" si="22"/>
        <v>2.2222222222222285</v>
      </c>
      <c r="G58" s="50">
        <f t="shared" si="22"/>
        <v>-1.7777777777777777</v>
      </c>
      <c r="H58" s="50">
        <f t="shared" si="22"/>
        <v>1.851851851851869</v>
      </c>
      <c r="I58" s="50">
        <f t="shared" si="22"/>
        <v>0.43499999999999983</v>
      </c>
      <c r="J58" s="50">
        <f t="shared" si="22"/>
        <v>3.0222222222222208</v>
      </c>
      <c r="K58" s="50">
        <f t="shared" si="22"/>
        <v>9.9444444444444464</v>
      </c>
      <c r="L58" s="50">
        <f t="shared" si="22"/>
        <v>6.7999999999999989</v>
      </c>
      <c r="M58" s="50">
        <f t="shared" si="22"/>
        <v>3.625</v>
      </c>
      <c r="N58" s="50">
        <f t="shared" si="22"/>
        <v>4.2222222222222214</v>
      </c>
      <c r="O58" s="50">
        <f t="shared" si="22"/>
        <v>1.6099999999999996E-2</v>
      </c>
      <c r="P58" s="50">
        <f t="shared" si="22"/>
        <v>7.1400000000000005E-2</v>
      </c>
      <c r="Q58" s="50">
        <f t="shared" si="22"/>
        <v>2.8799999999999992E-2</v>
      </c>
      <c r="R58" s="50">
        <f>+R56-R57</f>
        <v>0.14879999999999999</v>
      </c>
      <c r="S58" s="50">
        <f>+S56-S57</f>
        <v>0.14879999999999999</v>
      </c>
      <c r="T58" s="50">
        <f t="shared" si="22"/>
        <v>0.36800000000000005</v>
      </c>
      <c r="U58" s="50">
        <f t="shared" ref="U58" si="23">+U56-U57</f>
        <v>1.3800000000000001</v>
      </c>
      <c r="V58" s="50">
        <f t="shared" ref="V58:W58" si="24">+V56-V57</f>
        <v>0.7</v>
      </c>
      <c r="W58" s="50">
        <f t="shared" si="24"/>
        <v>0.7</v>
      </c>
    </row>
    <row r="59" spans="1:23" x14ac:dyDescent="0.25">
      <c r="B59" s="48"/>
      <c r="C59" s="48"/>
      <c r="D59" s="48"/>
      <c r="E59" s="48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</row>
    <row r="60" spans="1:23" x14ac:dyDescent="0.25">
      <c r="A60" t="s">
        <v>111</v>
      </c>
      <c r="B60" s="49">
        <f t="shared" ref="B60:T60" si="25">+B58/B26</f>
        <v>-0.18888888888888886</v>
      </c>
      <c r="C60" s="49">
        <f t="shared" ref="C60" si="26">+C58/C26</f>
        <v>-0.18888888888888886</v>
      </c>
      <c r="D60" s="49">
        <f t="shared" si="25"/>
        <v>3.0246913580246684E-2</v>
      </c>
      <c r="E60" s="49">
        <f t="shared" si="25"/>
        <v>1.9841269841269805E-2</v>
      </c>
      <c r="F60" s="51">
        <f t="shared" si="25"/>
        <v>5.5555555555555714E-3</v>
      </c>
      <c r="G60" s="51">
        <f t="shared" si="25"/>
        <v>-0.22222222222222221</v>
      </c>
      <c r="H60" s="51">
        <f t="shared" si="25"/>
        <v>3.7037037037037381E-3</v>
      </c>
      <c r="I60" s="51">
        <f t="shared" si="25"/>
        <v>7.2499999999999967E-2</v>
      </c>
      <c r="J60" s="51">
        <f t="shared" si="25"/>
        <v>0.30222222222222206</v>
      </c>
      <c r="K60" s="51">
        <f t="shared" si="25"/>
        <v>0.49722222222222234</v>
      </c>
      <c r="L60" s="51">
        <f t="shared" si="25"/>
        <v>0.67999999999999994</v>
      </c>
      <c r="M60" s="51">
        <f t="shared" si="25"/>
        <v>7.2499999999999995E-2</v>
      </c>
      <c r="N60" s="51">
        <f t="shared" si="25"/>
        <v>0.42222222222222217</v>
      </c>
      <c r="O60" s="51">
        <f t="shared" si="25"/>
        <v>1.6099999999999996E-2</v>
      </c>
      <c r="P60" s="51">
        <f t="shared" si="25"/>
        <v>2.3800000000000002E-2</v>
      </c>
      <c r="Q60" s="51">
        <f t="shared" si="25"/>
        <v>4.7999999999999987E-3</v>
      </c>
      <c r="R60" s="51">
        <f>+R58/R26</f>
        <v>1.24E-2</v>
      </c>
      <c r="S60" s="51">
        <f>+S58/S26</f>
        <v>1.24E-2</v>
      </c>
      <c r="T60" s="51">
        <f t="shared" si="25"/>
        <v>4.6000000000000006E-2</v>
      </c>
      <c r="U60" s="51">
        <f t="shared" ref="U60" si="27">+U58/U26</f>
        <v>4.6000000000000006E-2</v>
      </c>
      <c r="V60" s="51">
        <f>+V58/V26</f>
        <v>2.8E-3</v>
      </c>
      <c r="W60" s="51">
        <f>+W58/W26</f>
        <v>2.8E-3</v>
      </c>
    </row>
    <row r="61" spans="1:23" x14ac:dyDescent="0.25">
      <c r="A61" t="s">
        <v>112</v>
      </c>
      <c r="B61" s="48">
        <f t="shared" ref="B61:N61" si="28">+B26*B31/B57</f>
        <v>1.5428571428571429</v>
      </c>
      <c r="C61" s="48">
        <f t="shared" ref="C61" si="29">+C26*C31/C57</f>
        <v>1.5428571428571429</v>
      </c>
      <c r="D61" s="48">
        <f t="shared" si="28"/>
        <v>0.74654377880184319</v>
      </c>
      <c r="E61" s="48">
        <f t="shared" si="28"/>
        <v>1.0413223140495866</v>
      </c>
      <c r="F61" s="50">
        <f t="shared" si="28"/>
        <v>2.5714285714285716</v>
      </c>
      <c r="G61" s="50">
        <f t="shared" si="28"/>
        <v>1.2705882352941176</v>
      </c>
      <c r="H61" s="50">
        <f t="shared" si="28"/>
        <v>6.2307692307692308</v>
      </c>
      <c r="I61" s="50">
        <f t="shared" si="28"/>
        <v>2.4347826086956519</v>
      </c>
      <c r="J61" s="50">
        <f t="shared" si="28"/>
        <v>3.9374999999999991</v>
      </c>
      <c r="K61" s="50">
        <f t="shared" si="28"/>
        <v>4.5818181818181811</v>
      </c>
      <c r="L61" s="50">
        <f t="shared" si="28"/>
        <v>6.9999999999999973</v>
      </c>
      <c r="M61" s="50">
        <f t="shared" si="28"/>
        <v>2.4347826086956523</v>
      </c>
      <c r="N61" s="50">
        <f t="shared" si="28"/>
        <v>3.3749999999999996</v>
      </c>
      <c r="O61" s="50">
        <f t="shared" ref="O61:V61" si="30">+O26*O31/O57</f>
        <v>163.265306122449</v>
      </c>
      <c r="P61" s="50">
        <f t="shared" si="30"/>
        <v>214.28571428571431</v>
      </c>
      <c r="Q61" s="50">
        <f t="shared" si="30"/>
        <v>119.04761904761905</v>
      </c>
      <c r="R61" s="50">
        <f>+R26*R31/R57</f>
        <v>142.85714285714289</v>
      </c>
      <c r="S61" s="50">
        <f>+S26*S31/S57</f>
        <v>142.85714285714289</v>
      </c>
      <c r="T61" s="50">
        <f t="shared" si="30"/>
        <v>100</v>
      </c>
      <c r="U61" s="50">
        <f t="shared" ref="U61" si="31">+U26*U31/U57</f>
        <v>100</v>
      </c>
      <c r="V61" s="50">
        <f t="shared" si="30"/>
        <v>470.58823529411768</v>
      </c>
      <c r="W61" s="50">
        <f t="shared" ref="W61" si="32">+W26*W31/W57</f>
        <v>470.58823529411768</v>
      </c>
    </row>
    <row r="62" spans="1:23" x14ac:dyDescent="0.25">
      <c r="A62" t="s">
        <v>113</v>
      </c>
      <c r="B62" s="48">
        <f t="shared" ref="B62:Q62" si="33">+B26</f>
        <v>400</v>
      </c>
      <c r="C62" s="48">
        <f t="shared" ref="C62" si="34">+C26</f>
        <v>400</v>
      </c>
      <c r="D62" s="48">
        <f t="shared" si="33"/>
        <v>400</v>
      </c>
      <c r="E62" s="48">
        <f t="shared" si="33"/>
        <v>400</v>
      </c>
      <c r="F62" s="50">
        <f t="shared" si="33"/>
        <v>400</v>
      </c>
      <c r="G62" s="50">
        <f t="shared" si="33"/>
        <v>8</v>
      </c>
      <c r="H62" s="50">
        <f t="shared" si="33"/>
        <v>500</v>
      </c>
      <c r="I62" s="50">
        <f t="shared" si="33"/>
        <v>6</v>
      </c>
      <c r="J62" s="50">
        <f t="shared" si="33"/>
        <v>10</v>
      </c>
      <c r="K62" s="50">
        <f t="shared" si="33"/>
        <v>20</v>
      </c>
      <c r="L62" s="50">
        <f t="shared" si="33"/>
        <v>10</v>
      </c>
      <c r="M62" s="50">
        <f t="shared" si="33"/>
        <v>50</v>
      </c>
      <c r="N62" s="50">
        <f t="shared" si="33"/>
        <v>10</v>
      </c>
      <c r="O62" s="50">
        <f t="shared" si="33"/>
        <v>1</v>
      </c>
      <c r="P62" s="50">
        <f t="shared" si="33"/>
        <v>3</v>
      </c>
      <c r="Q62" s="50">
        <f t="shared" si="33"/>
        <v>6</v>
      </c>
      <c r="R62" s="50">
        <f>+R26</f>
        <v>12</v>
      </c>
      <c r="S62" s="50">
        <f>+S26</f>
        <v>12</v>
      </c>
      <c r="T62" s="50">
        <f>+T26</f>
        <v>8</v>
      </c>
      <c r="U62" s="50">
        <f>+U26</f>
        <v>30</v>
      </c>
      <c r="V62" s="50">
        <f t="shared" ref="V62:W62" si="35">+V26</f>
        <v>250</v>
      </c>
      <c r="W62" s="50">
        <f t="shared" si="35"/>
        <v>250</v>
      </c>
    </row>
    <row r="63" spans="1:23" x14ac:dyDescent="0.25">
      <c r="A63" t="s">
        <v>102</v>
      </c>
      <c r="B63" s="48">
        <f t="shared" ref="B63:Q63" si="36">B62*B30/B20</f>
        <v>40</v>
      </c>
      <c r="C63" s="48">
        <f t="shared" ref="C63" si="37">C62*C30/C20</f>
        <v>40</v>
      </c>
      <c r="D63" s="48">
        <f t="shared" si="36"/>
        <v>40</v>
      </c>
      <c r="E63" s="48">
        <f t="shared" si="36"/>
        <v>28.000000000000004</v>
      </c>
      <c r="F63" s="50">
        <f t="shared" si="36"/>
        <v>6</v>
      </c>
      <c r="G63" s="50">
        <f t="shared" si="36"/>
        <v>1.6</v>
      </c>
      <c r="H63" s="50">
        <f t="shared" si="36"/>
        <v>12.5</v>
      </c>
      <c r="I63" s="50">
        <f t="shared" si="36"/>
        <v>0.30000000000000004</v>
      </c>
      <c r="J63" s="50">
        <f t="shared" si="36"/>
        <v>1</v>
      </c>
      <c r="K63" s="50">
        <f t="shared" si="36"/>
        <v>0.4</v>
      </c>
      <c r="L63" s="50">
        <f t="shared" si="36"/>
        <v>1</v>
      </c>
      <c r="M63" s="50">
        <f t="shared" si="36"/>
        <v>5</v>
      </c>
      <c r="N63" s="50">
        <f t="shared" si="36"/>
        <v>0.25</v>
      </c>
      <c r="O63" s="50">
        <f t="shared" si="36"/>
        <v>6.6666666666666666E-2</v>
      </c>
      <c r="P63" s="50">
        <f t="shared" si="36"/>
        <v>0.20000000000000004</v>
      </c>
      <c r="Q63" s="50">
        <f t="shared" si="36"/>
        <v>0.89999999999999991</v>
      </c>
      <c r="R63" s="50">
        <f>R62*R30/R20</f>
        <v>1.7999999999999998</v>
      </c>
      <c r="S63" s="50">
        <f>S62*S30/S20</f>
        <v>1.7999999999999998</v>
      </c>
      <c r="T63" s="50">
        <f>T62*T30/T20</f>
        <v>1.2</v>
      </c>
      <c r="U63" s="50">
        <f>U62*U30/U20</f>
        <v>4.5</v>
      </c>
      <c r="V63" s="50">
        <f t="shared" ref="V63:W63" si="38">V62*V30/V20</f>
        <v>75</v>
      </c>
      <c r="W63" s="50">
        <f t="shared" si="38"/>
        <v>75</v>
      </c>
    </row>
    <row r="64" spans="1:23" x14ac:dyDescent="0.25">
      <c r="A64" t="s">
        <v>115</v>
      </c>
      <c r="B64" s="48">
        <f t="shared" ref="B64:Q64" si="39">+(B62-B63)/B58</f>
        <v>-4.764705882352942</v>
      </c>
      <c r="C64" s="48">
        <f t="shared" ref="C64" si="40">+(C62-C63)/C58</f>
        <v>-4.764705882352942</v>
      </c>
      <c r="D64" s="48">
        <f t="shared" si="39"/>
        <v>29.755102040816553</v>
      </c>
      <c r="E64" s="48">
        <f t="shared" si="39"/>
        <v>46.872000000000085</v>
      </c>
      <c r="F64" s="48">
        <f t="shared" si="39"/>
        <v>177.2999999999995</v>
      </c>
      <c r="G64" s="48">
        <f t="shared" si="39"/>
        <v>-3.6000000000000005</v>
      </c>
      <c r="H64" s="48">
        <f t="shared" si="39"/>
        <v>263.24999999999756</v>
      </c>
      <c r="I64" s="48">
        <f t="shared" si="39"/>
        <v>13.103448275862075</v>
      </c>
      <c r="J64" s="48">
        <f t="shared" si="39"/>
        <v>2.9779411764705896</v>
      </c>
      <c r="K64" s="48">
        <f t="shared" si="39"/>
        <v>1.9709497206703908</v>
      </c>
      <c r="L64" s="48">
        <f t="shared" si="39"/>
        <v>1.3235294117647061</v>
      </c>
      <c r="M64" s="48">
        <f t="shared" si="39"/>
        <v>12.413793103448276</v>
      </c>
      <c r="N64" s="48">
        <f t="shared" si="39"/>
        <v>2.3092105263157898</v>
      </c>
      <c r="O64" s="48">
        <f t="shared" si="39"/>
        <v>57.971014492753639</v>
      </c>
      <c r="P64" s="48">
        <f t="shared" si="39"/>
        <v>39.2156862745098</v>
      </c>
      <c r="Q64" s="48">
        <f t="shared" si="39"/>
        <v>177.08333333333337</v>
      </c>
      <c r="R64" s="48">
        <f>+(R62-R63)/R58</f>
        <v>68.548387096774192</v>
      </c>
      <c r="S64" s="48">
        <f>+(S62-S63)/S58</f>
        <v>68.548387096774192</v>
      </c>
      <c r="T64" s="48">
        <f>+(T62-T63)/T58</f>
        <v>18.478260869565215</v>
      </c>
      <c r="U64" s="48">
        <f>+(U62-U63)/U58</f>
        <v>18.478260869565215</v>
      </c>
      <c r="V64" s="48">
        <f t="shared" ref="V64:W64" si="41">+(V62-V63)/V58</f>
        <v>250.00000000000003</v>
      </c>
      <c r="W64" s="48">
        <f t="shared" si="41"/>
        <v>250.00000000000003</v>
      </c>
    </row>
    <row r="65" spans="1:23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</row>
    <row r="66" spans="1:23" x14ac:dyDescent="0.25">
      <c r="F66" s="52"/>
      <c r="G66" s="52"/>
      <c r="H66" s="52"/>
      <c r="I66" s="52" t="s">
        <v>70</v>
      </c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</row>
    <row r="67" spans="1:23" x14ac:dyDescent="0.25">
      <c r="A67" t="s">
        <v>101</v>
      </c>
      <c r="B67">
        <f>+B26*(1+B30)*1.1</f>
        <v>484.00000000000011</v>
      </c>
      <c r="C67">
        <f>+C26*(1+C30)*1.1</f>
        <v>484.00000000000011</v>
      </c>
      <c r="D67">
        <f t="shared" ref="D67:T67" si="42">+D26*(1+D30)*1.1</f>
        <v>484.00000000000011</v>
      </c>
      <c r="E67">
        <f t="shared" si="42"/>
        <v>470.8</v>
      </c>
      <c r="F67">
        <f t="shared" si="42"/>
        <v>453.20000000000005</v>
      </c>
      <c r="G67">
        <f t="shared" si="42"/>
        <v>10.56</v>
      </c>
      <c r="H67">
        <f t="shared" si="42"/>
        <v>605</v>
      </c>
      <c r="I67">
        <f t="shared" si="42"/>
        <v>7.2600000000000016</v>
      </c>
      <c r="J67">
        <f t="shared" si="42"/>
        <v>12.100000000000001</v>
      </c>
      <c r="K67">
        <f t="shared" si="42"/>
        <v>24.200000000000003</v>
      </c>
      <c r="L67">
        <f t="shared" si="42"/>
        <v>12.100000000000001</v>
      </c>
      <c r="M67">
        <f t="shared" si="42"/>
        <v>60.500000000000014</v>
      </c>
      <c r="N67">
        <f t="shared" si="42"/>
        <v>12.100000000000001</v>
      </c>
      <c r="O67">
        <f t="shared" si="42"/>
        <v>1.32</v>
      </c>
      <c r="P67">
        <f t="shared" si="42"/>
        <v>3.96</v>
      </c>
      <c r="Q67">
        <f t="shared" si="42"/>
        <v>8.5800000000000018</v>
      </c>
      <c r="R67">
        <f>+R26*(1+R30)*1.1</f>
        <v>17.160000000000004</v>
      </c>
      <c r="S67">
        <f>+S26*(1+S30)*1.1</f>
        <v>17.160000000000004</v>
      </c>
      <c r="T67">
        <f t="shared" si="42"/>
        <v>11.440000000000001</v>
      </c>
      <c r="U67">
        <f t="shared" ref="U67" si="43">+U26*(1+U30)*1.1</f>
        <v>42.900000000000006</v>
      </c>
      <c r="V67">
        <f t="shared" ref="V67:W67" si="44">+V26*(1+V30)*1.1</f>
        <v>357.50000000000006</v>
      </c>
      <c r="W67">
        <f t="shared" si="44"/>
        <v>357.50000000000006</v>
      </c>
    </row>
    <row r="68" spans="1:23" x14ac:dyDescent="0.25">
      <c r="A68" t="s">
        <v>102</v>
      </c>
      <c r="B68" s="54">
        <f t="shared" ref="B68:V68" si="45">+B26*B30/B20</f>
        <v>40</v>
      </c>
      <c r="C68" s="54">
        <f t="shared" ref="C68" si="46">+C26*C30/C20</f>
        <v>40</v>
      </c>
      <c r="D68" s="54">
        <f t="shared" si="45"/>
        <v>40</v>
      </c>
      <c r="E68" s="54">
        <f t="shared" si="45"/>
        <v>28.000000000000004</v>
      </c>
      <c r="F68" s="54">
        <f t="shared" si="45"/>
        <v>6</v>
      </c>
      <c r="G68" s="54">
        <f t="shared" si="45"/>
        <v>1.6</v>
      </c>
      <c r="H68" s="54">
        <f t="shared" si="45"/>
        <v>12.5</v>
      </c>
      <c r="I68" s="54">
        <f t="shared" si="45"/>
        <v>0.30000000000000004</v>
      </c>
      <c r="J68" s="54">
        <f t="shared" si="45"/>
        <v>1</v>
      </c>
      <c r="K68" s="54">
        <f t="shared" si="45"/>
        <v>0.4</v>
      </c>
      <c r="L68" s="54">
        <f t="shared" si="45"/>
        <v>1</v>
      </c>
      <c r="M68" s="54">
        <f t="shared" si="45"/>
        <v>5</v>
      </c>
      <c r="N68" s="54">
        <f t="shared" si="45"/>
        <v>0.25</v>
      </c>
      <c r="O68" s="54">
        <f t="shared" si="45"/>
        <v>6.6666666666666666E-2</v>
      </c>
      <c r="P68" s="54">
        <f t="shared" si="45"/>
        <v>0.20000000000000004</v>
      </c>
      <c r="Q68" s="54">
        <f t="shared" si="45"/>
        <v>0.89999999999999991</v>
      </c>
      <c r="R68" s="54">
        <f>+R26*R30/R20</f>
        <v>1.7999999999999998</v>
      </c>
      <c r="S68" s="54">
        <f>+S26*S30/S20</f>
        <v>1.7999999999999998</v>
      </c>
      <c r="T68" s="54">
        <f t="shared" si="45"/>
        <v>1.2</v>
      </c>
      <c r="U68" s="54">
        <f t="shared" ref="U68" si="47">+U26*U30/U20</f>
        <v>4.5</v>
      </c>
      <c r="V68" s="54">
        <f t="shared" si="45"/>
        <v>75</v>
      </c>
      <c r="W68" s="54">
        <f t="shared" ref="W68" si="48">+W26*W30/W20</f>
        <v>75</v>
      </c>
    </row>
    <row r="70" spans="1:23" x14ac:dyDescent="0.25">
      <c r="A70" t="s">
        <v>135</v>
      </c>
      <c r="B70" s="57">
        <f t="shared" ref="B70:W70" si="49">+B26/B15</f>
        <v>1.8181818181818181</v>
      </c>
      <c r="C70" s="57">
        <f t="shared" si="49"/>
        <v>1.8181818181818181</v>
      </c>
      <c r="D70" s="57">
        <f t="shared" si="49"/>
        <v>1.8181818181818181</v>
      </c>
      <c r="E70" s="57">
        <f t="shared" si="49"/>
        <v>1.8181818181818181</v>
      </c>
      <c r="F70" s="57">
        <f t="shared" si="49"/>
        <v>1.8181818181818181</v>
      </c>
      <c r="G70" s="57">
        <f t="shared" si="49"/>
        <v>0.2</v>
      </c>
      <c r="H70" s="57">
        <f t="shared" si="49"/>
        <v>1.4285714285714286</v>
      </c>
      <c r="I70" s="57">
        <f t="shared" si="49"/>
        <v>0.4</v>
      </c>
      <c r="J70" s="57">
        <f t="shared" si="49"/>
        <v>0.4</v>
      </c>
      <c r="K70" s="57">
        <f t="shared" si="49"/>
        <v>0.5</v>
      </c>
      <c r="L70" s="57">
        <f t="shared" si="49"/>
        <v>0.5</v>
      </c>
      <c r="M70" s="57">
        <f t="shared" si="49"/>
        <v>0.5</v>
      </c>
      <c r="N70" s="57">
        <f t="shared" si="49"/>
        <v>2</v>
      </c>
      <c r="O70" s="57">
        <f t="shared" si="49"/>
        <v>0.2</v>
      </c>
      <c r="P70" s="57">
        <f t="shared" si="49"/>
        <v>0.6</v>
      </c>
      <c r="Q70" s="57">
        <f t="shared" si="49"/>
        <v>0.6</v>
      </c>
      <c r="R70" s="57">
        <f t="shared" si="49"/>
        <v>0.4</v>
      </c>
      <c r="S70" s="57">
        <f t="shared" si="49"/>
        <v>0.5</v>
      </c>
      <c r="T70" s="57">
        <f t="shared" si="49"/>
        <v>0.53333333333333333</v>
      </c>
      <c r="U70" s="57">
        <f t="shared" ref="U70" si="50">+U26/U15</f>
        <v>0.5</v>
      </c>
      <c r="V70" s="57">
        <f t="shared" si="49"/>
        <v>0.52083333333333337</v>
      </c>
      <c r="W70" s="57">
        <f t="shared" si="49"/>
        <v>0.52083333333333337</v>
      </c>
    </row>
  </sheetData>
  <conditionalFormatting sqref="O42 O7">
    <cfRule type="duplicateValues" dxfId="30" priority="61"/>
  </conditionalFormatting>
  <conditionalFormatting sqref="T42 T7">
    <cfRule type="duplicateValues" dxfId="29" priority="63"/>
  </conditionalFormatting>
  <conditionalFormatting sqref="G42 G7">
    <cfRule type="duplicateValues" dxfId="28" priority="65"/>
  </conditionalFormatting>
  <conditionalFormatting sqref="M7">
    <cfRule type="duplicateValues" dxfId="27" priority="75"/>
  </conditionalFormatting>
  <conditionalFormatting sqref="E42 E7">
    <cfRule type="duplicateValues" dxfId="26" priority="77"/>
  </conditionalFormatting>
  <conditionalFormatting sqref="D42 D7">
    <cfRule type="duplicateValues" dxfId="25" priority="79"/>
  </conditionalFormatting>
  <conditionalFormatting sqref="H42 H7">
    <cfRule type="duplicateValues" dxfId="24" priority="81"/>
  </conditionalFormatting>
  <conditionalFormatting sqref="P42 P7">
    <cfRule type="duplicateValues" dxfId="23" priority="83"/>
  </conditionalFormatting>
  <conditionalFormatting sqref="Q42 Q7">
    <cfRule type="duplicateValues" dxfId="22" priority="85"/>
  </conditionalFormatting>
  <conditionalFormatting sqref="J42 J7">
    <cfRule type="duplicateValues" dxfId="21" priority="87"/>
  </conditionalFormatting>
  <conditionalFormatting sqref="K7">
    <cfRule type="duplicateValues" dxfId="20" priority="99"/>
  </conditionalFormatting>
  <conditionalFormatting sqref="L7">
    <cfRule type="duplicateValues" dxfId="19" priority="101"/>
  </conditionalFormatting>
  <conditionalFormatting sqref="K42">
    <cfRule type="duplicateValues" dxfId="18" priority="23"/>
  </conditionalFormatting>
  <conditionalFormatting sqref="L42">
    <cfRule type="duplicateValues" dxfId="17" priority="22"/>
  </conditionalFormatting>
  <conditionalFormatting sqref="M42">
    <cfRule type="duplicateValues" dxfId="16" priority="21"/>
  </conditionalFormatting>
  <conditionalFormatting sqref="V42 V7">
    <cfRule type="duplicateValues" dxfId="15" priority="19"/>
  </conditionalFormatting>
  <conditionalFormatting sqref="V42">
    <cfRule type="duplicateValues" dxfId="14" priority="20"/>
  </conditionalFormatting>
  <conditionalFormatting sqref="R42 I42 I7 N42 N7 R7 B42 B7 F42 F7 D7 D42">
    <cfRule type="duplicateValues" dxfId="13" priority="104"/>
  </conditionalFormatting>
  <conditionalFormatting sqref="R42 N42:O42 N7:O7 F42:G42 F7:G7 I42 I7 B42 B7 R7 D7 D42 T7 T42">
    <cfRule type="duplicateValues" dxfId="12" priority="107"/>
  </conditionalFormatting>
  <conditionalFormatting sqref="C42 C7">
    <cfRule type="duplicateValues" dxfId="11" priority="17"/>
  </conditionalFormatting>
  <conditionalFormatting sqref="C42">
    <cfRule type="duplicateValues" dxfId="10" priority="18"/>
  </conditionalFormatting>
  <conditionalFormatting sqref="S42 S7">
    <cfRule type="duplicateValues" dxfId="9" priority="15"/>
  </conditionalFormatting>
  <conditionalFormatting sqref="S42">
    <cfRule type="duplicateValues" dxfId="8" priority="16"/>
  </conditionalFormatting>
  <conditionalFormatting sqref="W42 W7">
    <cfRule type="duplicateValues" dxfId="7" priority="13"/>
  </conditionalFormatting>
  <conditionalFormatting sqref="W42">
    <cfRule type="duplicateValues" dxfId="6" priority="14"/>
  </conditionalFormatting>
  <conditionalFormatting sqref="B21:T21 V21:W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T22 V22:W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:T26 V26:W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7:T28 V27:W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0:T20 V20:W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42 U7">
    <cfRule type="duplicateValues" dxfId="5" priority="6"/>
  </conditionalFormatting>
  <conditionalFormatting sqref="U7 U42">
    <cfRule type="duplicateValues" dxfId="4" priority="7"/>
  </conditionalFormatting>
  <conditionalFormatting sqref="U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B26:T26 V26:W26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B27:T28 V27:W28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B20:T20 V20:W20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B9:W9 B7:W7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topLeftCell="A10" workbookViewId="0">
      <selection activeCell="A27" sqref="A27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33</v>
      </c>
      <c r="B7">
        <v>2</v>
      </c>
    </row>
    <row r="8" spans="1:3" x14ac:dyDescent="0.25">
      <c r="A8" t="s">
        <v>38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29</v>
      </c>
      <c r="B14">
        <v>9</v>
      </c>
    </row>
    <row r="15" spans="1:3" x14ac:dyDescent="0.25">
      <c r="A15" t="s">
        <v>37</v>
      </c>
      <c r="B15">
        <v>10</v>
      </c>
    </row>
    <row r="16" spans="1:3" x14ac:dyDescent="0.25">
      <c r="A16" t="s">
        <v>74</v>
      </c>
      <c r="B16">
        <v>11</v>
      </c>
    </row>
    <row r="17" spans="1:2" x14ac:dyDescent="0.25">
      <c r="A17" t="s">
        <v>59</v>
      </c>
      <c r="B17">
        <v>12</v>
      </c>
    </row>
    <row r="18" spans="1:2" x14ac:dyDescent="0.25">
      <c r="A18" t="s">
        <v>66</v>
      </c>
      <c r="B18">
        <v>13</v>
      </c>
    </row>
    <row r="19" spans="1:2" x14ac:dyDescent="0.25">
      <c r="A19" t="s">
        <v>69</v>
      </c>
      <c r="B19">
        <v>14</v>
      </c>
    </row>
    <row r="20" spans="1:2" x14ac:dyDescent="0.25">
      <c r="A20" t="s">
        <v>77</v>
      </c>
      <c r="B20">
        <v>15</v>
      </c>
    </row>
    <row r="21" spans="1:2" x14ac:dyDescent="0.25">
      <c r="A21" t="s">
        <v>80</v>
      </c>
      <c r="B21">
        <v>16</v>
      </c>
    </row>
    <row r="22" spans="1:2" x14ac:dyDescent="0.25">
      <c r="A22" t="s">
        <v>81</v>
      </c>
      <c r="B22">
        <v>17</v>
      </c>
    </row>
    <row r="23" spans="1:2" x14ac:dyDescent="0.25">
      <c r="A23" t="s">
        <v>103</v>
      </c>
      <c r="B23">
        <v>18</v>
      </c>
    </row>
    <row r="24" spans="1:2" x14ac:dyDescent="0.25">
      <c r="A24" t="s">
        <v>117</v>
      </c>
      <c r="B24">
        <v>19</v>
      </c>
    </row>
    <row r="25" spans="1:2" x14ac:dyDescent="0.25">
      <c r="A25" t="s">
        <v>131</v>
      </c>
      <c r="B25">
        <v>20</v>
      </c>
    </row>
    <row r="26" spans="1:2" x14ac:dyDescent="0.25">
      <c r="A26" t="s">
        <v>132</v>
      </c>
      <c r="B26">
        <v>21</v>
      </c>
    </row>
    <row r="27" spans="1:2" x14ac:dyDescent="0.25">
      <c r="A27" t="s">
        <v>162</v>
      </c>
      <c r="B27">
        <v>22</v>
      </c>
    </row>
    <row r="30" spans="1:2" x14ac:dyDescent="0.25">
      <c r="A30" t="s">
        <v>79</v>
      </c>
    </row>
    <row r="31" spans="1:2" x14ac:dyDescent="0.25">
      <c r="A31" s="6" t="s">
        <v>78</v>
      </c>
      <c r="B31">
        <v>99</v>
      </c>
    </row>
    <row r="37" spans="1:4" x14ac:dyDescent="0.25">
      <c r="A37" t="s">
        <v>7</v>
      </c>
      <c r="B37" t="s">
        <v>5</v>
      </c>
    </row>
    <row r="38" spans="1:4" x14ac:dyDescent="0.25">
      <c r="A38" t="s">
        <v>8</v>
      </c>
      <c r="B38">
        <v>0</v>
      </c>
    </row>
    <row r="39" spans="1:4" x14ac:dyDescent="0.25">
      <c r="A39" t="s">
        <v>9</v>
      </c>
      <c r="B39">
        <v>1</v>
      </c>
    </row>
    <row r="40" spans="1:4" x14ac:dyDescent="0.25">
      <c r="A40" t="s">
        <v>6</v>
      </c>
      <c r="B40">
        <v>2</v>
      </c>
    </row>
    <row r="43" spans="1:4" x14ac:dyDescent="0.25">
      <c r="D43" t="s">
        <v>155</v>
      </c>
    </row>
    <row r="44" spans="1:4" ht="15.75" thickBot="1" x14ac:dyDescent="0.3">
      <c r="A44" s="60" t="s">
        <v>143</v>
      </c>
      <c r="B44" s="63" t="s">
        <v>153</v>
      </c>
      <c r="C44" t="s">
        <v>154</v>
      </c>
      <c r="D44">
        <v>10</v>
      </c>
    </row>
    <row r="45" spans="1:4" ht="15.75" thickBot="1" x14ac:dyDescent="0.3">
      <c r="A45" s="61" t="s">
        <v>144</v>
      </c>
      <c r="B45" s="64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61" t="s">
        <v>145</v>
      </c>
      <c r="B46" s="64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61" t="s">
        <v>146</v>
      </c>
      <c r="B47" s="64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61" t="s">
        <v>147</v>
      </c>
      <c r="B48" s="64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61" t="s">
        <v>148</v>
      </c>
      <c r="B49" s="64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61" t="s">
        <v>149</v>
      </c>
      <c r="B50" s="64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61" t="s">
        <v>150</v>
      </c>
      <c r="B51" s="64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61" t="s">
        <v>151</v>
      </c>
      <c r="B52" s="64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61" t="s">
        <v>152</v>
      </c>
      <c r="B53" s="64">
        <v>10</v>
      </c>
      <c r="C53">
        <v>10</v>
      </c>
      <c r="D53" s="18">
        <f>+$D$44/Tabla2[[#This Row],[family_area]]</f>
        <v>1</v>
      </c>
      <c r="E53" t="s">
        <v>156</v>
      </c>
    </row>
    <row r="54" spans="1:5" x14ac:dyDescent="0.25">
      <c r="A54" s="59"/>
      <c r="B54" s="62"/>
      <c r="E54" s="6" t="s">
        <v>157</v>
      </c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53</v>
      </c>
      <c r="C1" t="s">
        <v>54</v>
      </c>
      <c r="E1" t="s">
        <v>53</v>
      </c>
      <c r="F1" t="s">
        <v>55</v>
      </c>
    </row>
    <row r="2" spans="1:7" x14ac:dyDescent="0.25">
      <c r="A2" t="s">
        <v>48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49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50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51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40</v>
      </c>
      <c r="E10" s="12" t="s">
        <v>52</v>
      </c>
      <c r="F10" s="5" t="s">
        <v>46</v>
      </c>
      <c r="G10" s="5" t="s">
        <v>47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2021-07-04T21:47:31Z</dcterms:modified>
</cp:coreProperties>
</file>