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9" documentId="14_{D5D1D187-8A04-48C1-BA52-3EFD84C65930}" xr6:coauthVersionLast="47" xr6:coauthVersionMax="47" xr10:uidLastSave="{2240400B-A3AD-4084-9DAA-B6AE2B9D2B30}"/>
  <bookViews>
    <workbookView xWindow="450" yWindow="45" windowWidth="2238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3" l="1"/>
  <c r="J49" i="3" s="1"/>
  <c r="I46" i="3"/>
  <c r="I49" i="3" s="1"/>
  <c r="H46" i="3"/>
  <c r="H48" i="3" s="1"/>
  <c r="G46" i="3"/>
  <c r="G48" i="3" s="1"/>
  <c r="F46" i="3"/>
  <c r="F48" i="3" s="1"/>
  <c r="E46" i="3"/>
  <c r="E49" i="3" s="1"/>
  <c r="D46" i="3"/>
  <c r="D49" i="3" s="1"/>
  <c r="B46" i="3"/>
  <c r="C46" i="3"/>
  <c r="C48" i="3" s="1"/>
  <c r="B49" i="3"/>
  <c r="F49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G49" i="3" l="1"/>
  <c r="E48" i="3"/>
  <c r="I48" i="3"/>
  <c r="H49" i="3"/>
  <c r="C49" i="3"/>
  <c r="B48" i="3"/>
  <c r="D48" i="3"/>
  <c r="J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0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4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<sst xmlns="http://schemas.openxmlformats.org/spreadsheetml/2006/main" count="131" uniqueCount="99">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</sst>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zoomScaleNormal="100" workbookViewId="0">
      <pane xSplit="1" ySplit="6" topLeftCell="B15" activePane="bottomRight" state="frozen"/>
      <selection pane="topRight" activeCell="B1" sqref="B1"/>
      <selection pane="bottomLeft" activeCell="A6" sqref="A6"/>
      <selection pane="bottomRight" activeCell="M29" sqref="M29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83</v>
      </c>
      <c r="B1" s="17">
        <f ca="1">NOW()</f>
        <v>44351.329207291667</v>
      </c>
      <c r="G1" s="33" t="s">
        <v>93</v>
      </c>
    </row>
    <row r="2" spans="1:15" x14ac:dyDescent="0.25">
      <c r="A2" s="6" t="s">
        <v>97</v>
      </c>
      <c r="B2" s="7">
        <v>180</v>
      </c>
      <c r="G2" t="s">
        <v>71</v>
      </c>
    </row>
    <row r="3" spans="1:15" x14ac:dyDescent="0.25">
      <c r="A3" t="s">
        <v>77</v>
      </c>
      <c r="B3" s="1">
        <v>0.1</v>
      </c>
      <c r="G3" s="16" t="s">
        <v>80</v>
      </c>
      <c r="H3" s="16"/>
      <c r="I3" s="16"/>
      <c r="J3" s="16"/>
      <c r="K3" s="16"/>
      <c r="L3" s="16"/>
      <c r="M3" s="16"/>
      <c r="N3" s="16"/>
    </row>
    <row r="5" spans="1:15" x14ac:dyDescent="0.25">
      <c r="A5" t="s">
        <v>36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9" t="s">
        <v>9</v>
      </c>
      <c r="L5" s="29" t="s">
        <v>9</v>
      </c>
      <c r="M5" s="29" t="s">
        <v>9</v>
      </c>
      <c r="N5" s="29" t="s">
        <v>9</v>
      </c>
      <c r="O5" s="30" t="s">
        <v>6</v>
      </c>
    </row>
    <row r="6" spans="1:15" ht="23.25" x14ac:dyDescent="0.25">
      <c r="A6" t="s">
        <v>37</v>
      </c>
      <c r="B6" s="10" t="s">
        <v>11</v>
      </c>
      <c r="C6" s="10" t="s">
        <v>43</v>
      </c>
      <c r="D6" s="10" t="s">
        <v>51</v>
      </c>
      <c r="E6" s="10" t="s">
        <v>94</v>
      </c>
      <c r="F6" s="10" t="s">
        <v>38</v>
      </c>
      <c r="G6" s="10" t="s">
        <v>12</v>
      </c>
      <c r="H6" s="52" t="s">
        <v>75</v>
      </c>
      <c r="I6" s="10" t="s">
        <v>13</v>
      </c>
      <c r="J6" s="10" t="s">
        <v>47</v>
      </c>
      <c r="K6" s="10" t="s">
        <v>15</v>
      </c>
      <c r="L6" s="10" t="s">
        <v>14</v>
      </c>
      <c r="M6" s="10" t="s">
        <v>84</v>
      </c>
      <c r="N6" s="10" t="s">
        <v>88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0"/>
      <c r="I7" s="4"/>
      <c r="J7" s="4"/>
      <c r="K7" s="4"/>
      <c r="L7" s="4"/>
      <c r="M7" s="4"/>
      <c r="N7" s="4"/>
      <c r="O7" s="4"/>
    </row>
    <row r="8" spans="1:15" x14ac:dyDescent="0.25">
      <c r="A8" s="46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1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s="46" t="s">
        <v>73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1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47" t="s">
        <v>74</v>
      </c>
      <c r="B10" s="5" t="s">
        <v>16</v>
      </c>
      <c r="C10" s="5" t="s">
        <v>53</v>
      </c>
      <c r="D10" s="5" t="s">
        <v>52</v>
      </c>
      <c r="E10" s="5" t="s">
        <v>95</v>
      </c>
      <c r="F10" s="5" t="s">
        <v>40</v>
      </c>
      <c r="G10" s="5" t="s">
        <v>17</v>
      </c>
      <c r="H10" s="22" t="s">
        <v>76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85</v>
      </c>
      <c r="N10" s="5" t="s">
        <v>89</v>
      </c>
      <c r="O10" s="5" t="s">
        <v>21</v>
      </c>
    </row>
    <row r="11" spans="1:15" x14ac:dyDescent="0.25">
      <c r="A11" s="48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s="48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s="48" t="s">
        <v>72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49" t="s">
        <v>31</v>
      </c>
      <c r="B14" s="1">
        <v>1000</v>
      </c>
      <c r="C14" s="1">
        <v>0</v>
      </c>
      <c r="D14" s="1">
        <v>0</v>
      </c>
      <c r="E14" s="1">
        <v>800</v>
      </c>
      <c r="F14" s="1">
        <v>0</v>
      </c>
      <c r="G14" s="1">
        <v>0</v>
      </c>
      <c r="H14" s="9">
        <v>0</v>
      </c>
      <c r="I14" s="1">
        <v>0</v>
      </c>
      <c r="J14" s="1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s="50" t="s">
        <v>32</v>
      </c>
      <c r="B15" s="1">
        <v>1.2</v>
      </c>
      <c r="C15" s="1">
        <v>0</v>
      </c>
      <c r="D15" s="1">
        <v>0</v>
      </c>
      <c r="E15" s="1">
        <v>1.2</v>
      </c>
      <c r="F15" s="1">
        <v>0</v>
      </c>
      <c r="G15" s="1">
        <v>0</v>
      </c>
      <c r="H15" s="9">
        <v>0</v>
      </c>
      <c r="I15" s="1">
        <v>0</v>
      </c>
      <c r="J15" s="1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5">
      <c r="A16" s="50" t="s">
        <v>33</v>
      </c>
      <c r="B16" s="1">
        <v>50</v>
      </c>
      <c r="C16" s="1">
        <v>175</v>
      </c>
      <c r="D16" s="1">
        <v>175</v>
      </c>
      <c r="E16" s="1">
        <v>25</v>
      </c>
      <c r="F16" s="1">
        <v>40</v>
      </c>
      <c r="G16" s="1">
        <v>30</v>
      </c>
      <c r="H16" s="9">
        <v>350</v>
      </c>
      <c r="I16" s="1">
        <v>10</v>
      </c>
      <c r="J16" s="1">
        <v>5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25">
      <c r="A17" s="51" t="s">
        <v>34</v>
      </c>
      <c r="B17" s="1">
        <v>1</v>
      </c>
      <c r="C17" s="1">
        <v>1.3</v>
      </c>
      <c r="D17" s="1">
        <v>1</v>
      </c>
      <c r="E17" s="1">
        <v>1</v>
      </c>
      <c r="F17" s="1">
        <v>1</v>
      </c>
      <c r="G17" s="1">
        <v>1</v>
      </c>
      <c r="H17" s="9">
        <v>1</v>
      </c>
      <c r="I17" s="1">
        <v>1</v>
      </c>
      <c r="J17" s="1">
        <v>1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25">
      <c r="A18" t="s">
        <v>23</v>
      </c>
      <c r="B18">
        <v>12</v>
      </c>
      <c r="C18">
        <v>10</v>
      </c>
      <c r="D18">
        <v>10</v>
      </c>
      <c r="E18">
        <v>10</v>
      </c>
      <c r="F18">
        <v>15</v>
      </c>
      <c r="G18">
        <v>3</v>
      </c>
      <c r="H18" s="8">
        <v>3</v>
      </c>
      <c r="I18">
        <v>3</v>
      </c>
      <c r="J18">
        <v>3</v>
      </c>
      <c r="K18">
        <v>4</v>
      </c>
      <c r="L18">
        <v>3</v>
      </c>
      <c r="M18">
        <v>8</v>
      </c>
      <c r="N18">
        <v>7</v>
      </c>
      <c r="O18">
        <v>7</v>
      </c>
    </row>
    <row r="19" spans="1:15" x14ac:dyDescent="0.25">
      <c r="A19" s="23" t="s">
        <v>24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8">
        <v>1</v>
      </c>
      <c r="I19">
        <v>1</v>
      </c>
      <c r="J19">
        <v>1</v>
      </c>
      <c r="K19">
        <v>0.3</v>
      </c>
      <c r="L19">
        <v>0.3</v>
      </c>
      <c r="M19">
        <v>0.3</v>
      </c>
      <c r="N19">
        <v>0.3</v>
      </c>
      <c r="O19">
        <v>1</v>
      </c>
    </row>
    <row r="20" spans="1:15" x14ac:dyDescent="0.25">
      <c r="A20" s="24" t="s">
        <v>25</v>
      </c>
      <c r="B20">
        <v>64</v>
      </c>
      <c r="C20">
        <v>100</v>
      </c>
      <c r="D20">
        <v>128</v>
      </c>
      <c r="E20">
        <v>180</v>
      </c>
      <c r="F20">
        <v>64</v>
      </c>
      <c r="G20">
        <v>64</v>
      </c>
      <c r="H20" s="8">
        <v>110</v>
      </c>
      <c r="I20">
        <v>64</v>
      </c>
      <c r="J20">
        <v>64</v>
      </c>
      <c r="K20">
        <v>1</v>
      </c>
      <c r="L20">
        <v>32</v>
      </c>
      <c r="M20">
        <v>32</v>
      </c>
      <c r="N20">
        <v>48</v>
      </c>
      <c r="O20">
        <v>1</v>
      </c>
    </row>
    <row r="21" spans="1:15" x14ac:dyDescent="0.25">
      <c r="A21" s="25" t="s">
        <v>42</v>
      </c>
      <c r="B21">
        <v>1</v>
      </c>
      <c r="C21">
        <v>1</v>
      </c>
      <c r="D21">
        <v>1</v>
      </c>
      <c r="E21">
        <v>2</v>
      </c>
      <c r="F21">
        <v>1</v>
      </c>
      <c r="G21">
        <v>2</v>
      </c>
      <c r="H21" s="8">
        <v>4</v>
      </c>
      <c r="I21">
        <v>1</v>
      </c>
      <c r="J21">
        <v>4</v>
      </c>
      <c r="K21">
        <v>2</v>
      </c>
      <c r="L21">
        <v>3</v>
      </c>
      <c r="M21" s="6">
        <v>5</v>
      </c>
      <c r="N21">
        <v>2</v>
      </c>
      <c r="O21">
        <v>1</v>
      </c>
    </row>
    <row r="22" spans="1:15" x14ac:dyDescent="0.25">
      <c r="A22" s="23" t="s">
        <v>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8">
        <v>0</v>
      </c>
      <c r="I22">
        <v>0</v>
      </c>
      <c r="J22">
        <v>0</v>
      </c>
      <c r="K22">
        <v>2</v>
      </c>
      <c r="L22">
        <v>2</v>
      </c>
      <c r="M22">
        <v>2</v>
      </c>
      <c r="N22">
        <v>2</v>
      </c>
      <c r="O22">
        <v>2</v>
      </c>
    </row>
    <row r="23" spans="1:15" x14ac:dyDescent="0.25">
      <c r="A23" s="25" t="s">
        <v>82</v>
      </c>
      <c r="B23">
        <v>3</v>
      </c>
      <c r="C23">
        <v>3</v>
      </c>
      <c r="D23">
        <v>3</v>
      </c>
      <c r="E23">
        <v>3</v>
      </c>
      <c r="F23">
        <v>1</v>
      </c>
      <c r="G23">
        <v>1</v>
      </c>
      <c r="H23" s="8">
        <v>1</v>
      </c>
      <c r="I23">
        <v>1</v>
      </c>
      <c r="J23">
        <v>1</v>
      </c>
      <c r="K23">
        <v>2</v>
      </c>
      <c r="L23">
        <v>2</v>
      </c>
      <c r="M23">
        <v>2</v>
      </c>
      <c r="N23">
        <v>2</v>
      </c>
      <c r="O23">
        <v>2</v>
      </c>
    </row>
    <row r="24" spans="1:15" x14ac:dyDescent="0.25">
      <c r="A24" s="25" t="s">
        <v>28</v>
      </c>
      <c r="B24">
        <v>400</v>
      </c>
      <c r="C24">
        <v>250</v>
      </c>
      <c r="D24">
        <v>200</v>
      </c>
      <c r="E24">
        <v>300</v>
      </c>
      <c r="F24">
        <v>8</v>
      </c>
      <c r="G24">
        <v>6</v>
      </c>
      <c r="H24" s="8">
        <v>400</v>
      </c>
      <c r="I24">
        <v>10</v>
      </c>
      <c r="J24">
        <v>10</v>
      </c>
      <c r="K24">
        <v>10</v>
      </c>
      <c r="L24">
        <v>5</v>
      </c>
      <c r="M24">
        <v>5</v>
      </c>
      <c r="N24">
        <v>6</v>
      </c>
      <c r="O24">
        <v>50</v>
      </c>
    </row>
    <row r="25" spans="1:15" x14ac:dyDescent="0.25">
      <c r="A25" s="8" t="s">
        <v>96</v>
      </c>
      <c r="B25" s="8">
        <v>8</v>
      </c>
      <c r="C25" s="8">
        <v>20</v>
      </c>
      <c r="D25" s="8">
        <v>15</v>
      </c>
      <c r="E25" s="8">
        <v>10</v>
      </c>
      <c r="F25" s="8">
        <v>2</v>
      </c>
      <c r="G25" s="8">
        <v>2</v>
      </c>
      <c r="H25" s="8">
        <v>2</v>
      </c>
      <c r="I25" s="8">
        <v>2</v>
      </c>
      <c r="J25" s="8">
        <v>2</v>
      </c>
      <c r="K25" s="8">
        <v>2</v>
      </c>
      <c r="L25" s="8">
        <v>2</v>
      </c>
      <c r="M25" s="8">
        <v>2</v>
      </c>
      <c r="N25" s="8">
        <v>2</v>
      </c>
      <c r="O25" s="8">
        <v>2</v>
      </c>
    </row>
    <row r="26" spans="1:15" x14ac:dyDescent="0.25">
      <c r="A26" s="23" t="s">
        <v>59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8">
        <v>0</v>
      </c>
      <c r="I26">
        <v>0</v>
      </c>
      <c r="J26">
        <v>0</v>
      </c>
      <c r="K26">
        <v>0.2</v>
      </c>
      <c r="L26">
        <v>0.4</v>
      </c>
      <c r="M26">
        <v>0.4</v>
      </c>
      <c r="N26">
        <v>0.3</v>
      </c>
      <c r="O26">
        <v>0.2</v>
      </c>
    </row>
    <row r="27" spans="1:15" x14ac:dyDescent="0.25">
      <c r="A27" s="26" t="s">
        <v>26</v>
      </c>
      <c r="B27">
        <v>0.1</v>
      </c>
      <c r="C27">
        <v>0.1</v>
      </c>
      <c r="D27">
        <v>7.0000000000000007E-2</v>
      </c>
      <c r="E27">
        <v>0.03</v>
      </c>
      <c r="F27">
        <v>0.2</v>
      </c>
      <c r="G27">
        <v>0.1</v>
      </c>
      <c r="H27" s="8">
        <v>0.1</v>
      </c>
      <c r="I27">
        <v>0.1</v>
      </c>
      <c r="J27">
        <v>0.1</v>
      </c>
      <c r="K27">
        <v>0.2</v>
      </c>
      <c r="L27">
        <v>0.2</v>
      </c>
      <c r="M27">
        <v>0.3</v>
      </c>
      <c r="N27">
        <v>0.3</v>
      </c>
      <c r="O27">
        <v>0.2</v>
      </c>
    </row>
    <row r="28" spans="1:15" x14ac:dyDescent="0.25">
      <c r="A28" s="24" t="s">
        <v>92</v>
      </c>
      <c r="B28">
        <v>0.6</v>
      </c>
      <c r="C28">
        <v>0.5</v>
      </c>
      <c r="D28">
        <v>0.5</v>
      </c>
      <c r="E28">
        <v>0.5</v>
      </c>
      <c r="F28">
        <v>0.6</v>
      </c>
      <c r="G28">
        <v>0.7</v>
      </c>
      <c r="H28">
        <v>0.6</v>
      </c>
      <c r="I28">
        <v>0.7</v>
      </c>
      <c r="J28">
        <v>0.6</v>
      </c>
      <c r="K28">
        <v>0.6</v>
      </c>
      <c r="L28">
        <v>0.8</v>
      </c>
      <c r="M28">
        <v>0.5</v>
      </c>
      <c r="N28">
        <v>0.5</v>
      </c>
      <c r="O28">
        <v>0.6</v>
      </c>
    </row>
    <row r="29" spans="1:15" x14ac:dyDescent="0.25">
      <c r="A29" s="38" t="s">
        <v>60</v>
      </c>
      <c r="B29" s="34">
        <v>0.5</v>
      </c>
      <c r="C29" s="34">
        <v>1</v>
      </c>
      <c r="D29" s="34">
        <v>1</v>
      </c>
      <c r="E29" s="34">
        <v>1</v>
      </c>
      <c r="F29" s="34">
        <v>0.5</v>
      </c>
      <c r="G29" s="34">
        <v>1</v>
      </c>
      <c r="H29" s="34">
        <v>1</v>
      </c>
      <c r="I29" s="34">
        <v>1.5</v>
      </c>
      <c r="J29" s="34">
        <v>1.5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25">
      <c r="A30" s="39" t="s">
        <v>86</v>
      </c>
      <c r="B30" s="34">
        <v>0.8</v>
      </c>
      <c r="C30" s="34">
        <v>0.9</v>
      </c>
      <c r="D30" s="34">
        <v>0.7</v>
      </c>
      <c r="E30" s="34">
        <v>0.4</v>
      </c>
      <c r="F30" s="35">
        <v>0.5</v>
      </c>
      <c r="G30" s="34">
        <v>0.4</v>
      </c>
      <c r="H30" s="36">
        <v>0.15</v>
      </c>
      <c r="I30" s="34">
        <v>0.04</v>
      </c>
      <c r="J30" s="34">
        <v>0.04</v>
      </c>
      <c r="K30" s="37">
        <v>0.3</v>
      </c>
      <c r="L30" s="34">
        <v>0.1</v>
      </c>
      <c r="M30" s="34">
        <v>0.2</v>
      </c>
      <c r="N30" s="34">
        <v>0.3</v>
      </c>
      <c r="O30" s="34">
        <v>0.1</v>
      </c>
    </row>
    <row r="31" spans="1:15" x14ac:dyDescent="0.25">
      <c r="A31" s="40" t="s">
        <v>55</v>
      </c>
      <c r="B31" s="34">
        <v>0.4</v>
      </c>
      <c r="C31" s="34">
        <v>0.7</v>
      </c>
      <c r="D31" s="34">
        <v>0.5</v>
      </c>
      <c r="E31" s="34">
        <v>0.2</v>
      </c>
      <c r="F31" s="35">
        <v>0.5</v>
      </c>
      <c r="G31" s="35">
        <v>0.3</v>
      </c>
      <c r="H31" s="36">
        <v>0.1</v>
      </c>
      <c r="I31" s="34">
        <v>0.4</v>
      </c>
      <c r="J31" s="34">
        <v>0.4</v>
      </c>
      <c r="K31" s="37">
        <v>0.05</v>
      </c>
      <c r="L31" s="34">
        <v>0.05</v>
      </c>
      <c r="M31" s="34">
        <v>0.05</v>
      </c>
      <c r="N31" s="34">
        <v>0.06</v>
      </c>
      <c r="O31" s="34">
        <v>0.12</v>
      </c>
    </row>
    <row r="32" spans="1:15" x14ac:dyDescent="0.25">
      <c r="A32" s="41" t="s">
        <v>29</v>
      </c>
      <c r="B32" s="1">
        <v>20</v>
      </c>
      <c r="C32" s="1">
        <v>24</v>
      </c>
      <c r="D32" s="1">
        <v>20</v>
      </c>
      <c r="E32" s="1">
        <v>27</v>
      </c>
      <c r="F32" s="1">
        <v>20</v>
      </c>
      <c r="G32" s="1">
        <v>25</v>
      </c>
      <c r="H32" s="9">
        <v>20</v>
      </c>
      <c r="I32" s="1">
        <v>20</v>
      </c>
      <c r="J32" s="1">
        <v>-10</v>
      </c>
      <c r="K32" s="7">
        <v>0</v>
      </c>
      <c r="L32" s="7">
        <v>15</v>
      </c>
      <c r="M32" s="7">
        <v>15</v>
      </c>
      <c r="N32" s="7">
        <v>15</v>
      </c>
      <c r="O32" s="7">
        <v>0</v>
      </c>
    </row>
    <row r="33" spans="1:15" x14ac:dyDescent="0.25">
      <c r="A33" s="42" t="s">
        <v>41</v>
      </c>
      <c r="B33" s="1">
        <v>8</v>
      </c>
      <c r="C33" s="1">
        <v>3</v>
      </c>
      <c r="D33" s="9">
        <v>5</v>
      </c>
      <c r="E33" s="1">
        <v>5</v>
      </c>
      <c r="F33" s="1">
        <v>10</v>
      </c>
      <c r="G33" s="1">
        <v>8</v>
      </c>
      <c r="H33" s="9">
        <v>10</v>
      </c>
      <c r="I33" s="1">
        <v>5</v>
      </c>
      <c r="J33" s="1">
        <v>20</v>
      </c>
      <c r="K33" s="7">
        <v>50</v>
      </c>
      <c r="L33" s="7">
        <v>15</v>
      </c>
      <c r="M33" s="7">
        <v>15</v>
      </c>
      <c r="N33" s="7">
        <v>14</v>
      </c>
      <c r="O33" s="7">
        <v>50</v>
      </c>
    </row>
    <row r="34" spans="1:15" x14ac:dyDescent="0.25">
      <c r="A34" s="43" t="s">
        <v>56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</row>
    <row r="35" spans="1:15" x14ac:dyDescent="0.25">
      <c r="A35" s="44" t="s">
        <v>57</v>
      </c>
      <c r="B35" s="9">
        <v>0.9</v>
      </c>
      <c r="C35" s="9">
        <v>0.9</v>
      </c>
      <c r="D35" s="9">
        <v>0.7</v>
      </c>
      <c r="E35" s="9">
        <v>0.7</v>
      </c>
      <c r="F35" s="9">
        <v>0.1</v>
      </c>
      <c r="G35" s="9">
        <v>0.7</v>
      </c>
      <c r="H35" s="9">
        <v>0.7</v>
      </c>
      <c r="I35" s="9">
        <v>0.7</v>
      </c>
      <c r="J35" s="9">
        <v>0.9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</row>
    <row r="36" spans="1:15" x14ac:dyDescent="0.25">
      <c r="A36" s="45" t="s">
        <v>58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27" t="s">
        <v>87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3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14" t="s">
        <v>54</v>
      </c>
      <c r="F43" s="14" t="s">
        <v>45</v>
      </c>
      <c r="G43" s="14"/>
      <c r="H43" s="14"/>
      <c r="I43" s="14"/>
      <c r="J43" s="14" t="s">
        <v>46</v>
      </c>
    </row>
    <row r="44" spans="1:15" x14ac:dyDescent="0.25">
      <c r="H44" s="6"/>
    </row>
    <row r="45" spans="1:15" x14ac:dyDescent="0.25">
      <c r="A45" t="s">
        <v>91</v>
      </c>
      <c r="B45" s="28" t="str">
        <f t="shared" ref="B45:O45" si="0">+B5</f>
        <v>PRODUCER</v>
      </c>
      <c r="C45" s="28" t="str">
        <f t="shared" si="0"/>
        <v>PRODUCER</v>
      </c>
      <c r="D45" s="28" t="str">
        <f t="shared" si="0"/>
        <v>PRODUCER</v>
      </c>
      <c r="E45" s="28" t="str">
        <f t="shared" si="0"/>
        <v>PRODUCER</v>
      </c>
      <c r="F45" s="28" t="str">
        <f t="shared" si="0"/>
        <v>PRODUCER</v>
      </c>
      <c r="G45" s="28" t="str">
        <f t="shared" si="0"/>
        <v>PRODUCER</v>
      </c>
      <c r="H45" s="28" t="str">
        <f t="shared" si="0"/>
        <v>PRODUCER</v>
      </c>
      <c r="I45" s="28" t="str">
        <f t="shared" si="0"/>
        <v>PRODUCER</v>
      </c>
      <c r="J45" s="28" t="str">
        <f t="shared" si="0"/>
        <v>PRODUCER</v>
      </c>
      <c r="K45" s="29" t="str">
        <f t="shared" si="0"/>
        <v>PRIMARY</v>
      </c>
      <c r="L45" s="29" t="str">
        <f t="shared" si="0"/>
        <v>PRIMARY</v>
      </c>
      <c r="M45" s="29" t="str">
        <f t="shared" si="0"/>
        <v>PRIMARY</v>
      </c>
      <c r="N45" s="29" t="str">
        <f t="shared" si="0"/>
        <v>PRIMARY</v>
      </c>
      <c r="O45" s="30" t="str">
        <f t="shared" si="0"/>
        <v>SECONDARY</v>
      </c>
    </row>
    <row r="46" spans="1:15" x14ac:dyDescent="0.25">
      <c r="A46" t="s">
        <v>39</v>
      </c>
      <c r="B46" s="15">
        <f t="shared" ref="B46" si="1">+B31/B30/$B$2/$B$3</f>
        <v>2.7777777777777776E-2</v>
      </c>
      <c r="C46" s="15">
        <f>+C31/C30/$B$2/$B$3</f>
        <v>4.3209876543209867E-2</v>
      </c>
      <c r="D46" s="15">
        <f t="shared" ref="D46:J46" si="2">+D31/D30/$B$2/$B$3</f>
        <v>3.968253968253968E-2</v>
      </c>
      <c r="E46" s="15">
        <f t="shared" si="2"/>
        <v>2.7777777777777776E-2</v>
      </c>
      <c r="F46" s="15">
        <f t="shared" si="2"/>
        <v>5.5555555555555552E-2</v>
      </c>
      <c r="G46" s="15">
        <f t="shared" si="2"/>
        <v>4.1666666666666657E-2</v>
      </c>
      <c r="H46" s="15">
        <f t="shared" si="2"/>
        <v>3.7037037037037042E-2</v>
      </c>
      <c r="I46" s="15">
        <f t="shared" si="2"/>
        <v>0.55555555555555547</v>
      </c>
      <c r="J46" s="15">
        <f t="shared" si="2"/>
        <v>0.55555555555555547</v>
      </c>
      <c r="K46" s="31">
        <f>+K26</f>
        <v>0.2</v>
      </c>
      <c r="L46" s="31">
        <f>+L26</f>
        <v>0.4</v>
      </c>
      <c r="M46" s="31">
        <f>+M26</f>
        <v>0.4</v>
      </c>
      <c r="N46" s="31">
        <f>+N26</f>
        <v>0.3</v>
      </c>
      <c r="O46" s="31">
        <f>+O26</f>
        <v>0.2</v>
      </c>
    </row>
    <row r="47" spans="1:15" x14ac:dyDescent="0.25">
      <c r="H47" s="6"/>
    </row>
    <row r="48" spans="1:15" x14ac:dyDescent="0.25">
      <c r="A48" t="s">
        <v>98</v>
      </c>
      <c r="B48" s="18">
        <f>+B46*B24*$B$3*$B$2*B29</f>
        <v>100</v>
      </c>
      <c r="C48" s="18">
        <f t="shared" ref="C48:J48" si="3">+C46*C24*$B$3*$B$2*C29</f>
        <v>194.4444444444444</v>
      </c>
      <c r="D48" s="18">
        <f t="shared" si="3"/>
        <v>142.85714285714286</v>
      </c>
      <c r="E48" s="18">
        <f t="shared" si="3"/>
        <v>150</v>
      </c>
      <c r="F48" s="18">
        <f t="shared" si="3"/>
        <v>4</v>
      </c>
      <c r="G48" s="18">
        <f t="shared" si="3"/>
        <v>4.4999999999999991</v>
      </c>
      <c r="H48" s="18">
        <f t="shared" si="3"/>
        <v>266.66666666666674</v>
      </c>
      <c r="I48" s="18">
        <f t="shared" si="3"/>
        <v>149.99999999999997</v>
      </c>
      <c r="J48" s="18">
        <f t="shared" si="3"/>
        <v>149.99999999999997</v>
      </c>
      <c r="K48" s="53">
        <f>+K46*K24</f>
        <v>2</v>
      </c>
      <c r="L48" s="53">
        <f>+L46*L24</f>
        <v>2</v>
      </c>
      <c r="M48" s="53">
        <f>+M46*M24</f>
        <v>2</v>
      </c>
      <c r="N48" s="53">
        <f>+N46*N24</f>
        <v>1.7999999999999998</v>
      </c>
      <c r="O48" s="53">
        <f>+O46*O24</f>
        <v>10</v>
      </c>
    </row>
    <row r="49" spans="1:15" x14ac:dyDescent="0.25">
      <c r="A49" t="s">
        <v>79</v>
      </c>
      <c r="B49" s="19">
        <f>+B30*B46*$B$3*B29*B24*$B$2</f>
        <v>80</v>
      </c>
      <c r="C49" s="19">
        <f t="shared" ref="C49:J49" si="4">+C30*C46*$B$3*C29*C24*$B$2</f>
        <v>174.99999999999997</v>
      </c>
      <c r="D49" s="19">
        <f t="shared" si="4"/>
        <v>99.999999999999986</v>
      </c>
      <c r="E49" s="19">
        <f t="shared" si="4"/>
        <v>60</v>
      </c>
      <c r="F49" s="19">
        <f t="shared" si="4"/>
        <v>2</v>
      </c>
      <c r="G49" s="19">
        <f t="shared" si="4"/>
        <v>1.7999999999999998</v>
      </c>
      <c r="H49" s="19">
        <f t="shared" si="4"/>
        <v>40</v>
      </c>
      <c r="I49" s="19">
        <f t="shared" si="4"/>
        <v>6</v>
      </c>
      <c r="J49" s="19">
        <f t="shared" si="4"/>
        <v>6</v>
      </c>
      <c r="K49" s="32">
        <f>+K48*K30</f>
        <v>0.6</v>
      </c>
      <c r="L49" s="32">
        <f>+L48*L30</f>
        <v>0.2</v>
      </c>
      <c r="M49" s="32">
        <f>+M48*M30</f>
        <v>0.4</v>
      </c>
      <c r="N49" s="32">
        <f>+N48*N30</f>
        <v>0.53999999999999992</v>
      </c>
      <c r="O49" s="32">
        <f>+O48*O30</f>
        <v>1</v>
      </c>
    </row>
    <row r="50" spans="1:15" x14ac:dyDescent="0.25">
      <c r="A50" t="s">
        <v>78</v>
      </c>
      <c r="B50" s="19">
        <f t="shared" ref="B50:G50" si="5">+B31*B24</f>
        <v>160</v>
      </c>
      <c r="C50" s="19">
        <f t="shared" si="5"/>
        <v>175</v>
      </c>
      <c r="D50" s="19">
        <f t="shared" si="5"/>
        <v>100</v>
      </c>
      <c r="E50" s="19">
        <f t="shared" si="5"/>
        <v>60</v>
      </c>
      <c r="F50" s="19">
        <f t="shared" si="5"/>
        <v>4</v>
      </c>
      <c r="G50" s="19">
        <f t="shared" si="5"/>
        <v>1.7999999999999998</v>
      </c>
      <c r="H50" s="19">
        <f>+H31*H24</f>
        <v>40</v>
      </c>
      <c r="I50" s="19">
        <f t="shared" ref="I50:J50" si="6">+I31*I24</f>
        <v>4</v>
      </c>
      <c r="J50" s="19">
        <f t="shared" si="6"/>
        <v>4</v>
      </c>
      <c r="K50" s="32">
        <f t="shared" ref="K50:O50" si="7">+K31*K24</f>
        <v>0.5</v>
      </c>
      <c r="L50" s="32">
        <f t="shared" si="7"/>
        <v>0.25</v>
      </c>
      <c r="M50" s="32">
        <f t="shared" si="7"/>
        <v>0.25</v>
      </c>
      <c r="N50" s="32">
        <f t="shared" si="7"/>
        <v>0.36</v>
      </c>
      <c r="O50" s="32">
        <f t="shared" si="7"/>
        <v>6</v>
      </c>
    </row>
    <row r="51" spans="1:15" x14ac:dyDescent="0.25">
      <c r="G51" t="s">
        <v>90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16" sqref="A16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94</v>
      </c>
      <c r="B16">
        <v>11</v>
      </c>
    </row>
    <row r="17" spans="1:2" x14ac:dyDescent="0.25">
      <c r="A17" t="s">
        <v>75</v>
      </c>
      <c r="B17">
        <v>12</v>
      </c>
    </row>
    <row r="18" spans="1:2" x14ac:dyDescent="0.25">
      <c r="A18" t="s">
        <v>84</v>
      </c>
      <c r="B18">
        <v>13</v>
      </c>
    </row>
    <row r="19" spans="1:2" x14ac:dyDescent="0.25">
      <c r="A19" t="s">
        <v>88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68</v>
      </c>
      <c r="C1" t="s">
        <v>69</v>
      </c>
      <c r="E1" t="s">
        <v>68</v>
      </c>
      <c r="F1" t="s">
        <v>70</v>
      </c>
    </row>
    <row r="2" spans="1:7" x14ac:dyDescent="0.25">
      <c r="A2" t="s">
        <v>63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64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65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66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55</v>
      </c>
      <c r="E10" s="12" t="s">
        <v>67</v>
      </c>
      <c r="F10" s="5" t="s">
        <v>61</v>
      </c>
      <c r="G10" s="5" t="s">
        <v>62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2021-06-04T05:54:05Z</dcterms:modified>
</cp:coreProperties>
</file>