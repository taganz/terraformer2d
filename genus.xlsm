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641367ab90122e/_tec/codi/GM/Terraformer2D/"/>
    </mc:Choice>
  </mc:AlternateContent>
  <xr:revisionPtr revIDLastSave="0" documentId="8_{E70993AC-B792-4238-8536-BFCB53A7753B}" xr6:coauthVersionLast="47" xr6:coauthVersionMax="47" xr10:uidLastSave="{00000000-0000-0000-0000-000000000000}"/>
  <bookViews>
    <workbookView xWindow="4065" yWindow="825" windowWidth="26055" windowHeight="19170" xr2:uid="{00000000-000D-0000-FFFF-FFFF00000000}"/>
  </bookViews>
  <sheets>
    <sheet name="genus" sheetId="3" r:id="rId1"/>
    <sheet name="Tables" sheetId="4" r:id="rId2"/>
    <sheet name="Sprite_image_simulator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6" i="3" l="1"/>
  <c r="C65" i="3"/>
  <c r="C60" i="3"/>
  <c r="C61" i="3" s="1"/>
  <c r="C53" i="3"/>
  <c r="C54" i="3" s="1"/>
  <c r="C50" i="3"/>
  <c r="C55" i="3" s="1"/>
  <c r="C59" i="3" s="1"/>
  <c r="C49" i="3"/>
  <c r="C10" i="3"/>
  <c r="C8" i="3"/>
  <c r="P10" i="3"/>
  <c r="T60" i="3"/>
  <c r="Q60" i="3"/>
  <c r="Q61" i="3" s="1"/>
  <c r="P60" i="3"/>
  <c r="P61" i="3" s="1"/>
  <c r="O60" i="3"/>
  <c r="R60" i="3"/>
  <c r="R61" i="3" s="1"/>
  <c r="N60" i="3"/>
  <c r="N61" i="3" s="1"/>
  <c r="M60" i="3"/>
  <c r="L60" i="3"/>
  <c r="L61" i="3" s="1"/>
  <c r="K60" i="3"/>
  <c r="K61" i="3" s="1"/>
  <c r="J60" i="3"/>
  <c r="I60" i="3"/>
  <c r="I61" i="3" s="1"/>
  <c r="H60" i="3"/>
  <c r="H61" i="3" s="1"/>
  <c r="G60" i="3"/>
  <c r="F60" i="3"/>
  <c r="F61" i="3" s="1"/>
  <c r="E60" i="3"/>
  <c r="E61" i="3" s="1"/>
  <c r="D60" i="3"/>
  <c r="D61" i="3" s="1"/>
  <c r="B60" i="3"/>
  <c r="B61" i="3" s="1"/>
  <c r="S60" i="3"/>
  <c r="S61" i="3" s="1"/>
  <c r="T55" i="3"/>
  <c r="T59" i="3" s="1"/>
  <c r="S55" i="3"/>
  <c r="S59" i="3" s="1"/>
  <c r="Q55" i="3"/>
  <c r="Q59" i="3" s="1"/>
  <c r="P55" i="3"/>
  <c r="P59" i="3" s="1"/>
  <c r="O55" i="3"/>
  <c r="O59" i="3" s="1"/>
  <c r="R55" i="3"/>
  <c r="R59" i="3" s="1"/>
  <c r="T66" i="3"/>
  <c r="T65" i="3"/>
  <c r="T50" i="3"/>
  <c r="T53" i="3" s="1"/>
  <c r="T54" i="3" s="1"/>
  <c r="T49" i="3"/>
  <c r="T10" i="3"/>
  <c r="T8" i="3"/>
  <c r="S66" i="3"/>
  <c r="Q66" i="3"/>
  <c r="P66" i="3"/>
  <c r="O66" i="3"/>
  <c r="R66" i="3"/>
  <c r="N66" i="3"/>
  <c r="M66" i="3"/>
  <c r="L66" i="3"/>
  <c r="K66" i="3"/>
  <c r="J66" i="3"/>
  <c r="I66" i="3"/>
  <c r="H66" i="3"/>
  <c r="G66" i="3"/>
  <c r="F66" i="3"/>
  <c r="E66" i="3"/>
  <c r="D66" i="3"/>
  <c r="B66" i="3"/>
  <c r="S65" i="3"/>
  <c r="Q65" i="3"/>
  <c r="P65" i="3"/>
  <c r="O65" i="3"/>
  <c r="R65" i="3"/>
  <c r="N65" i="3"/>
  <c r="M65" i="3"/>
  <c r="L65" i="3"/>
  <c r="K65" i="3"/>
  <c r="J65" i="3"/>
  <c r="I65" i="3"/>
  <c r="H65" i="3"/>
  <c r="G65" i="3"/>
  <c r="F65" i="3"/>
  <c r="E65" i="3"/>
  <c r="D65" i="3"/>
  <c r="B65" i="3"/>
  <c r="L50" i="3"/>
  <c r="L55" i="3" s="1"/>
  <c r="L59" i="3" s="1"/>
  <c r="L49" i="3"/>
  <c r="L8" i="3"/>
  <c r="L10" i="3"/>
  <c r="K50" i="3"/>
  <c r="K53" i="3" s="1"/>
  <c r="K54" i="3" s="1"/>
  <c r="K49" i="3"/>
  <c r="K8" i="3"/>
  <c r="K10" i="3"/>
  <c r="J50" i="3"/>
  <c r="J55" i="3" s="1"/>
  <c r="J59" i="3" s="1"/>
  <c r="J49" i="3"/>
  <c r="J8" i="3"/>
  <c r="J10" i="3"/>
  <c r="N50" i="3"/>
  <c r="N55" i="3" s="1"/>
  <c r="M50" i="3"/>
  <c r="M55" i="3" s="1"/>
  <c r="M59" i="3" s="1"/>
  <c r="H50" i="3"/>
  <c r="H53" i="3" s="1"/>
  <c r="H54" i="3" s="1"/>
  <c r="I50" i="3"/>
  <c r="I53" i="3" s="1"/>
  <c r="I54" i="3" s="1"/>
  <c r="G50" i="3"/>
  <c r="G53" i="3" s="1"/>
  <c r="G54" i="3" s="1"/>
  <c r="F50" i="3"/>
  <c r="F55" i="3" s="1"/>
  <c r="F59" i="3" s="1"/>
  <c r="E50" i="3"/>
  <c r="E55" i="3" s="1"/>
  <c r="E59" i="3" s="1"/>
  <c r="B50" i="3"/>
  <c r="B55" i="3" s="1"/>
  <c r="B59" i="3" s="1"/>
  <c r="D50" i="3"/>
  <c r="D53" i="3" s="1"/>
  <c r="D54" i="3" s="1"/>
  <c r="S49" i="3"/>
  <c r="Q49" i="3"/>
  <c r="P49" i="3"/>
  <c r="O49" i="3"/>
  <c r="R49" i="3"/>
  <c r="N49" i="3"/>
  <c r="M49" i="3"/>
  <c r="H49" i="3"/>
  <c r="I49" i="3"/>
  <c r="G49" i="3"/>
  <c r="F49" i="3"/>
  <c r="E49" i="3"/>
  <c r="D49" i="3"/>
  <c r="B49" i="3"/>
  <c r="S50" i="3"/>
  <c r="S53" i="3" s="1"/>
  <c r="S54" i="3" s="1"/>
  <c r="Q50" i="3"/>
  <c r="Q53" i="3" s="1"/>
  <c r="Q54" i="3" s="1"/>
  <c r="P50" i="3"/>
  <c r="P53" i="3" s="1"/>
  <c r="P54" i="3" s="1"/>
  <c r="O50" i="3"/>
  <c r="O53" i="3" s="1"/>
  <c r="O54" i="3" s="1"/>
  <c r="R50" i="3"/>
  <c r="R53" i="3" s="1"/>
  <c r="R54" i="3" s="1"/>
  <c r="Q8" i="3"/>
  <c r="Q10" i="3"/>
  <c r="B1" i="3"/>
  <c r="P8" i="3"/>
  <c r="H8" i="3"/>
  <c r="H10" i="3"/>
  <c r="E18" i="5"/>
  <c r="E17" i="5"/>
  <c r="E16" i="5"/>
  <c r="E15" i="5"/>
  <c r="E14" i="5"/>
  <c r="E13" i="5"/>
  <c r="E12" i="5"/>
  <c r="E11" i="5"/>
  <c r="E8" i="3"/>
  <c r="E10" i="3"/>
  <c r="M8" i="3"/>
  <c r="M10" i="3"/>
  <c r="G8" i="3"/>
  <c r="G10" i="3"/>
  <c r="S8" i="3"/>
  <c r="S10" i="3"/>
  <c r="O8" i="3"/>
  <c r="O10" i="3"/>
  <c r="D8" i="3"/>
  <c r="R8" i="3"/>
  <c r="N8" i="3"/>
  <c r="I8" i="3"/>
  <c r="F8" i="3"/>
  <c r="B8" i="3"/>
  <c r="R10" i="3"/>
  <c r="N10" i="3"/>
  <c r="I10" i="3"/>
  <c r="F10" i="3"/>
  <c r="D10" i="3"/>
  <c r="B10" i="3"/>
  <c r="C56" i="3" l="1"/>
  <c r="C58" i="3" s="1"/>
  <c r="H55" i="3"/>
  <c r="H59" i="3" s="1"/>
  <c r="I55" i="3"/>
  <c r="I59" i="3" s="1"/>
  <c r="D55" i="3"/>
  <c r="D59" i="3" s="1"/>
  <c r="K55" i="3"/>
  <c r="K59" i="3" s="1"/>
  <c r="G55" i="3"/>
  <c r="G59" i="3" s="1"/>
  <c r="N59" i="3"/>
  <c r="J61" i="3"/>
  <c r="O61" i="3"/>
  <c r="G61" i="3"/>
  <c r="M61" i="3"/>
  <c r="T61" i="3"/>
  <c r="O56" i="3"/>
  <c r="O58" i="3" s="1"/>
  <c r="Q56" i="3"/>
  <c r="Q58" i="3" s="1"/>
  <c r="P56" i="3"/>
  <c r="P58" i="3" s="1"/>
  <c r="T56" i="3"/>
  <c r="T58" i="3" s="1"/>
  <c r="R56" i="3"/>
  <c r="R58" i="3" s="1"/>
  <c r="S56" i="3"/>
  <c r="S58" i="3" s="1"/>
  <c r="L53" i="3"/>
  <c r="L54" i="3" s="1"/>
  <c r="J53" i="3"/>
  <c r="J54" i="3" s="1"/>
  <c r="F53" i="3"/>
  <c r="F54" i="3" s="1"/>
  <c r="M53" i="3"/>
  <c r="M54" i="3" s="1"/>
  <c r="D56" i="3"/>
  <c r="D58" i="3" s="1"/>
  <c r="B53" i="3"/>
  <c r="B54" i="3" s="1"/>
  <c r="B56" i="3" s="1"/>
  <c r="E53" i="3"/>
  <c r="E54" i="3" s="1"/>
  <c r="E56" i="3" s="1"/>
  <c r="E58" i="3" s="1"/>
  <c r="N53" i="3"/>
  <c r="N54" i="3" s="1"/>
  <c r="C62" i="3" l="1"/>
  <c r="K56" i="3"/>
  <c r="K58" i="3" s="1"/>
  <c r="P62" i="3"/>
  <c r="L56" i="3"/>
  <c r="L62" i="3" s="1"/>
  <c r="M56" i="3"/>
  <c r="M62" i="3" s="1"/>
  <c r="F56" i="3"/>
  <c r="F62" i="3" s="1"/>
  <c r="Q62" i="3"/>
  <c r="G56" i="3"/>
  <c r="G58" i="3" s="1"/>
  <c r="H56" i="3"/>
  <c r="H58" i="3" s="1"/>
  <c r="N56" i="3"/>
  <c r="N62" i="3" s="1"/>
  <c r="J56" i="3"/>
  <c r="J58" i="3" s="1"/>
  <c r="J62" i="3"/>
  <c r="I56" i="3"/>
  <c r="I58" i="3" s="1"/>
  <c r="S62" i="3"/>
  <c r="B58" i="3"/>
  <c r="B62" i="3"/>
  <c r="E62" i="3"/>
  <c r="T62" i="3"/>
  <c r="R62" i="3"/>
  <c r="K62" i="3"/>
  <c r="G62" i="3"/>
  <c r="O62" i="3"/>
  <c r="D62" i="3"/>
  <c r="H62" i="3" l="1"/>
  <c r="F58" i="3"/>
  <c r="M58" i="3"/>
  <c r="N58" i="3"/>
  <c r="I62" i="3"/>
  <c r="L5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 Dalmau</author>
  </authors>
  <commentList>
    <comment ref="A34" authorId="0" shapeId="0" xr:uid="{DF3650A6-B6C2-45A8-9464-2BF746300551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Aprox 10% mass goes up into next thropic level</t>
        </r>
      </text>
    </comment>
    <comment ref="A38" authorId="0" shapeId="0" xr:uid="{6EC34207-E0B4-452E-B700-5C4500558972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dormancy state will be triggered when temperature factor reaches this leve</t>
        </r>
      </text>
    </comment>
    <comment ref="A43" authorId="0" shapeId="0" xr:uid="{AC5AF4F0-BD59-4DF7-A2B9-16AAD27ECE38}">
      <text>
        <r>
          <rPr>
            <b/>
            <sz val="9"/>
            <color indexed="81"/>
            <rFont val="Tahoma"/>
            <family val="2"/>
          </rPr>
          <t>Ricard Dalmau:</t>
        </r>
        <r>
          <rPr>
            <sz val="9"/>
            <color indexed="81"/>
            <rFont val="Tahoma"/>
            <family val="2"/>
          </rPr>
          <t xml:space="preserve">
BIOMASS_REPRODUCTION ja no cal </t>
        </r>
      </text>
    </comment>
  </commentList>
</comments>
</file>

<file path=xl/sharedStrings.xml><?xml version="1.0" encoding="utf-8"?>
<sst xmlns="http://schemas.openxmlformats.org/spreadsheetml/2006/main" count="184" uniqueCount="141">
  <si>
    <t>GEN_START</t>
  </si>
  <si>
    <t>GEN_END</t>
  </si>
  <si>
    <t>// parent specie for initial species</t>
  </si>
  <si>
    <t>SECONDARY_SMALL</t>
  </si>
  <si>
    <t>SPECIE</t>
  </si>
  <si>
    <t>Columna1</t>
  </si>
  <si>
    <t>SECONDARY</t>
  </si>
  <si>
    <t>TROPHIC_LEVEL</t>
  </si>
  <si>
    <t>PRODUCER</t>
  </si>
  <si>
    <t>PRIMARY</t>
  </si>
  <si>
    <t>NOPARENT</t>
  </si>
  <si>
    <t>PLANT_TREE</t>
  </si>
  <si>
    <t>PLANT_BUSH</t>
  </si>
  <si>
    <t>PLANT_BUSH_2</t>
  </si>
  <si>
    <t>PRIMARY_TINY</t>
  </si>
  <si>
    <t>PRIMARY_SMALL</t>
  </si>
  <si>
    <t>PARENT_SPECIE_CODE</t>
  </si>
  <si>
    <t>AGE_DEAD</t>
  </si>
  <si>
    <t>REPRODUCTION_INTERVAL</t>
  </si>
  <si>
    <t>REPRODUCTION_DISTANCE</t>
  </si>
  <si>
    <t>ALLOCATION_REPRODUCTIVE</t>
  </si>
  <si>
    <t>SPECIE_CODE</t>
  </si>
  <si>
    <t>BIOMASS_ADULT</t>
  </si>
  <si>
    <t>TEMPERATURE_OPTIMAL</t>
  </si>
  <si>
    <t>ANABOLISM_BIOMASS_PER_WATER_L</t>
  </si>
  <si>
    <t>PLANT_BODY_DENSITY</t>
  </si>
  <si>
    <t>PLANT_BODY_FORM_FACTOR</t>
  </si>
  <si>
    <t>PLANT_HEAD_DENSITY</t>
  </si>
  <si>
    <t>PLANT_HEAD_FORM_FACTOR</t>
  </si>
  <si>
    <t>DEPRECATED_10</t>
  </si>
  <si>
    <t>T.Level</t>
  </si>
  <si>
    <t>PLANT_DESERT</t>
  </si>
  <si>
    <t>LMFa</t>
  </si>
  <si>
    <t>TEMPERATURE_RANGE</t>
  </si>
  <si>
    <t>REPRODUCTION_QUANTITY</t>
  </si>
  <si>
    <t>TREE_TROPICAL</t>
  </si>
  <si>
    <t>Comments</t>
  </si>
  <si>
    <t>High temp, high reserve</t>
  </si>
  <si>
    <t>Low temp, high reserve</t>
  </si>
  <si>
    <t>PLANT_ARTIC</t>
  </si>
  <si>
    <t>TREE_CONTINENTAL</t>
  </si>
  <si>
    <t>Trunk</t>
  </si>
  <si>
    <t>KC_METABOLIC_RATE</t>
  </si>
  <si>
    <t>DORMANCY_TEMPERATURE_TRIGGER</t>
  </si>
  <si>
    <t>DORMANCY_CATABOLISM_REDUCTION</t>
  </si>
  <si>
    <t>DORMANCY_MONTHS</t>
  </si>
  <si>
    <t>ALLOCATION_DIGESTIVE_ANIMALS</t>
  </si>
  <si>
    <t>EVOTRANSPIRATION_FACTOR</t>
  </si>
  <si>
    <t>X</t>
  </si>
  <si>
    <t>Y</t>
  </si>
  <si>
    <t>segment 1</t>
  </si>
  <si>
    <t>segment 2</t>
  </si>
  <si>
    <t>segment 3</t>
  </si>
  <si>
    <t>segment 4</t>
  </si>
  <si>
    <t>formula_x</t>
  </si>
  <si>
    <t>x_threshold</t>
  </si>
  <si>
    <t>x_value</t>
  </si>
  <si>
    <t>y_value</t>
  </si>
  <si>
    <t>All gen value must be numeric - no empty cells</t>
  </si>
  <si>
    <t>SPECIE_HUE</t>
  </si>
  <si>
    <t>GENUS_NAME</t>
  </si>
  <si>
    <t>CROP_BUSH</t>
  </si>
  <si>
    <t>LEAF_M2_PER_KG</t>
  </si>
  <si>
    <t>Anabolism adult wanted</t>
  </si>
  <si>
    <t>Per baixar aigua consumida cal baixar KC vigilant que LMFa quedi &gt; 0,01</t>
  </si>
  <si>
    <t>COMBAT_ATTACK_POINTS</t>
  </si>
  <si>
    <t>COMBAT_DEFENSE_POINTS</t>
  </si>
  <si>
    <t>version</t>
  </si>
  <si>
    <t>PRIMARY_TINY_2</t>
  </si>
  <si>
    <t>KA_ANABOLISM_FACTOR</t>
  </si>
  <si>
    <t>DEPRECATED_BIOMASS_BIRTH</t>
  </si>
  <si>
    <t>PRIMARY_TINY_3</t>
  </si>
  <si>
    <t xml:space="preserve"> </t>
  </si>
  <si>
    <t>T.Level2</t>
  </si>
  <si>
    <t>BIOMASS_LIFE_FACTOR</t>
  </si>
  <si>
    <t>control Q per salvar</t>
  </si>
  <si>
    <t>TREE_MEDITERRANEAN</t>
  </si>
  <si>
    <t>HEIGHT_ADULT</t>
  </si>
  <si>
    <t>CLIMATE_ET0_EVOTRANSPIRATION_AVG</t>
  </si>
  <si>
    <t>PLANT_BUSH_3</t>
  </si>
  <si>
    <t>add_above_this_line</t>
  </si>
  <si>
    <t>TBD</t>
  </si>
  <si>
    <t>PLANT_BUSH_4</t>
  </si>
  <si>
    <t>PLANT_BUSH_5</t>
  </si>
  <si>
    <t>GENUS_OBJECT_NAME</t>
  </si>
  <si>
    <t>GENUS_ID</t>
  </si>
  <si>
    <t>obj_tree</t>
  </si>
  <si>
    <t>obj_tree_tropical</t>
  </si>
  <si>
    <t>obj_tree_continental</t>
  </si>
  <si>
    <t>obj_tree_mediterranean</t>
  </si>
  <si>
    <t>obj_plant_desert</t>
  </si>
  <si>
    <t>obj_crop_bush</t>
  </si>
  <si>
    <t>obj_plant_bush</t>
  </si>
  <si>
    <t>obj_plant_bush_2</t>
  </si>
  <si>
    <t>obj_plant_bush_3</t>
  </si>
  <si>
    <t>obj_plant_bush_4</t>
  </si>
  <si>
    <t>obj_plant_bush_5</t>
  </si>
  <si>
    <t>obj_plant_artic</t>
  </si>
  <si>
    <t>obj_primary_small</t>
  </si>
  <si>
    <t>obj_primary_tiny</t>
  </si>
  <si>
    <t>obj_primary_tiny_2</t>
  </si>
  <si>
    <t>obj_primary_tiny_3</t>
  </si>
  <si>
    <t>obj_secondary_small</t>
  </si>
  <si>
    <t>GUARDAR COM EXCEL HABILITADO PARA MACROS</t>
  </si>
  <si>
    <t>_biomass_adult_max</t>
  </si>
  <si>
    <t>biomass at birth</t>
  </si>
  <si>
    <t>SECONDARY_MEDIUM</t>
  </si>
  <si>
    <t>obj_secondary_medium</t>
  </si>
  <si>
    <t>VIEW_RANGE</t>
  </si>
  <si>
    <t>metabolism_steps_per_month</t>
  </si>
  <si>
    <t>Catabolism adult (animals per step, plantes month)</t>
  </si>
  <si>
    <t>anabolism_input maximum / plant transpiration?</t>
  </si>
  <si>
    <t>SPEED_SLOW</t>
  </si>
  <si>
    <t>SPEED_FAST</t>
  </si>
  <si>
    <t>metab / biomass adult</t>
  </si>
  <si>
    <t>time to starvation - ESTIMATION</t>
  </si>
  <si>
    <t>biomass adult</t>
  </si>
  <si>
    <t>Metabolism variation per step</t>
  </si>
  <si>
    <t>steps to adult</t>
  </si>
  <si>
    <t>SPRITE_HEAD</t>
  </si>
  <si>
    <t>spr_tree_apple.png</t>
  </si>
  <si>
    <t>TREE_APPLE</t>
  </si>
  <si>
    <t>obj_tree_apple</t>
  </si>
  <si>
    <t>spr_secondary_small.png</t>
  </si>
  <si>
    <t>spr_tree_tropical_1.png</t>
  </si>
  <si>
    <t>spr_tree_1.png</t>
  </si>
  <si>
    <t>spr_tree_continental.png</t>
  </si>
  <si>
    <t>spr_tree_mediterranean.png</t>
  </si>
  <si>
    <t>spr_plant_desert.png</t>
  </si>
  <si>
    <t>spr_plant_bush.png</t>
  </si>
  <si>
    <t>spr_plant_bush_2.png</t>
  </si>
  <si>
    <t>spr_plant_bush_3.png</t>
  </si>
  <si>
    <t>spr_plant_bush_4.png</t>
  </si>
  <si>
    <t>spr_plant_bush_5.png</t>
  </si>
  <si>
    <t>spr_plant_artic.png</t>
  </si>
  <si>
    <t>spr_crop_bush.png</t>
  </si>
  <si>
    <t>spr_primary_tiny.png</t>
  </si>
  <si>
    <t>spr_primary_tiny_2.png</t>
  </si>
  <si>
    <t>spr_primary_small.png</t>
  </si>
  <si>
    <t>spr_secondary_medium.png</t>
  </si>
  <si>
    <t>spr_primary_small_indexed.png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</si>
</sst>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58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3" fillId="0" borderId="0" xfId="0" applyFont="1"/>
    <xf numFmtId="0" fontId="3" fillId="3" borderId="0" xfId="0" applyFont="1" applyFill="1"/>
    <xf numFmtId="0" fontId="8" fillId="0" borderId="0" xfId="0" applyFont="1"/>
    <xf numFmtId="0" fontId="8" fillId="3" borderId="0" xfId="0" applyFont="1" applyFill="1"/>
    <xf numFmtId="0" fontId="2" fillId="5" borderId="0" xfId="0" applyFont="1" applyFill="1" applyAlignment="1">
      <alignment wrapText="1"/>
    </xf>
    <xf numFmtId="0" fontId="0" fillId="0" borderId="0" xfId="0" applyFill="1"/>
    <xf numFmtId="0" fontId="9" fillId="0" borderId="0" xfId="0" applyFont="1" applyAlignment="1">
      <alignment wrapText="1"/>
    </xf>
    <xf numFmtId="0" fontId="3" fillId="4" borderId="0" xfId="0" applyFont="1" applyFill="1"/>
    <xf numFmtId="0" fontId="3" fillId="0" borderId="0" xfId="0" applyFont="1" applyAlignment="1">
      <alignment wrapText="1"/>
    </xf>
    <xf numFmtId="164" fontId="0" fillId="2" borderId="0" xfId="0" applyNumberFormat="1" applyFill="1"/>
    <xf numFmtId="0" fontId="0" fillId="7" borderId="0" xfId="0" applyFill="1"/>
    <xf numFmtId="22" fontId="0" fillId="0" borderId="0" xfId="0" applyNumberFormat="1"/>
    <xf numFmtId="1" fontId="0" fillId="0" borderId="0" xfId="0" applyNumberFormat="1"/>
    <xf numFmtId="0" fontId="8" fillId="4" borderId="0" xfId="0" applyFont="1" applyFill="1"/>
    <xf numFmtId="0" fontId="8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8" fillId="0" borderId="2" xfId="0" applyFont="1" applyBorder="1"/>
    <xf numFmtId="0" fontId="3" fillId="0" borderId="1" xfId="0" applyFont="1" applyBorder="1"/>
    <xf numFmtId="0" fontId="2" fillId="6" borderId="0" xfId="0" applyFont="1" applyFill="1"/>
    <xf numFmtId="0" fontId="2" fillId="8" borderId="0" xfId="0" applyFont="1" applyFill="1"/>
    <xf numFmtId="0" fontId="2" fillId="9" borderId="0" xfId="0" applyFont="1" applyFill="1"/>
    <xf numFmtId="0" fontId="11" fillId="0" borderId="0" xfId="0" applyFont="1"/>
    <xf numFmtId="0" fontId="0" fillId="11" borderId="0" xfId="0" applyFill="1"/>
    <xf numFmtId="0" fontId="12" fillId="11" borderId="0" xfId="0" applyFont="1" applyFill="1"/>
    <xf numFmtId="0" fontId="8" fillId="11" borderId="0" xfId="0" applyFont="1" applyFill="1"/>
    <xf numFmtId="0" fontId="3" fillId="11" borderId="0" xfId="0" applyFont="1" applyFill="1"/>
    <xf numFmtId="0" fontId="0" fillId="11" borderId="1" xfId="0" applyFill="1" applyBorder="1"/>
    <xf numFmtId="0" fontId="0" fillId="11" borderId="2" xfId="0" applyFill="1" applyBorder="1"/>
    <xf numFmtId="0" fontId="0" fillId="11" borderId="3" xfId="0" applyFill="1" applyBorder="1"/>
    <xf numFmtId="0" fontId="0" fillId="2" borderId="2" xfId="0" applyFill="1" applyBorder="1"/>
    <xf numFmtId="0" fontId="0" fillId="2" borderId="3" xfId="0" applyFill="1" applyBorder="1"/>
    <xf numFmtId="0" fontId="3" fillId="2" borderId="1" xfId="0" applyFont="1" applyFill="1" applyBorder="1"/>
    <xf numFmtId="0" fontId="8" fillId="2" borderId="2" xfId="0" applyFont="1" applyFill="1" applyBorder="1"/>
    <xf numFmtId="0" fontId="3" fillId="2" borderId="3" xfId="0" applyFont="1" applyFill="1" applyBorder="1"/>
    <xf numFmtId="0" fontId="0" fillId="8" borderId="0" xfId="0" applyFill="1"/>
    <xf numFmtId="0" fontId="0" fillId="12" borderId="0" xfId="0" applyFill="1"/>
    <xf numFmtId="0" fontId="0" fillId="12" borderId="1" xfId="0" applyFill="1" applyBorder="1"/>
    <xf numFmtId="0" fontId="0" fillId="12" borderId="2" xfId="0" applyFill="1" applyBorder="1"/>
    <xf numFmtId="0" fontId="0" fillId="12" borderId="3" xfId="0" applyFill="1" applyBorder="1"/>
    <xf numFmtId="0" fontId="10" fillId="5" borderId="0" xfId="0" applyFont="1" applyFill="1" applyAlignment="1">
      <alignment wrapText="1"/>
    </xf>
    <xf numFmtId="165" fontId="0" fillId="13" borderId="0" xfId="0" applyNumberFormat="1" applyFill="1"/>
    <xf numFmtId="2" fontId="3" fillId="0" borderId="0" xfId="0" applyNumberFormat="1" applyFont="1"/>
    <xf numFmtId="10" fontId="3" fillId="0" borderId="0" xfId="1" applyNumberFormat="1" applyFont="1"/>
    <xf numFmtId="2" fontId="14" fillId="0" borderId="0" xfId="0" applyNumberFormat="1" applyFont="1"/>
    <xf numFmtId="10" fontId="14" fillId="0" borderId="0" xfId="1" applyNumberFormat="1" applyFont="1"/>
    <xf numFmtId="0" fontId="14" fillId="0" borderId="0" xfId="0" applyFont="1"/>
    <xf numFmtId="164" fontId="11" fillId="10" borderId="0" xfId="0" applyNumberFormat="1" applyFont="1" applyFill="1"/>
    <xf numFmtId="2" fontId="0" fillId="0" borderId="0" xfId="0" applyNumberFormat="1"/>
    <xf numFmtId="0" fontId="0" fillId="12" borderId="0" xfId="0" applyFill="1" applyAlignment="1">
      <alignment wrapText="1"/>
    </xf>
    <xf numFmtId="0" fontId="8" fillId="0" borderId="0" xfId="0" applyFont="1" applyAlignment="1">
      <alignment wrapText="1"/>
    </xf>
  </cellXfs>
  <cellStyles count="2">
    <cellStyle name="Normal" xfId="0" builtinId="0"/>
    <cellStyle name="Porcentaje" xfId="1" builtinId="5"/>
  </cellStyles>
  <dxfs count="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1E7A51-3F9A-457E-8164-DC9CE54AAD7E}" name="Tabla1" displayName="Tabla1" ref="A4:B27" totalsRowShown="0">
  <autoFilter ref="A4:B27" xr:uid="{32879433-947D-4C16-8A31-1D013AF5B66D}"/>
  <tableColumns count="2">
    <tableColumn id="1" xr3:uid="{E2FE4E06-7EB8-433B-B74E-86E06F282A09}" name="SPECIE"/>
    <tableColumn id="2" xr3:uid="{072F277B-7C10-4EDB-A8B0-995CFC3FA4D8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02F23A-80FE-43FA-B033-8D71C351971B}" name="Tabla3" displayName="Tabla3" ref="A33:B36" totalsRowShown="0">
  <autoFilter ref="A33:B36" xr:uid="{CB8FC755-80F0-493F-B516-320A711A4042}"/>
  <tableColumns count="2">
    <tableColumn id="1" xr3:uid="{871757CF-6856-4588-B8E9-BA23960BCFD7}" name="TROPHIC_LEVEL"/>
    <tableColumn id="2" xr3:uid="{DFAA0427-1F77-4C38-B162-5A7CF722FFF7}" name="Column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6E24-D116-4545-8100-A73B8CF06CFE}">
  <sheetPr codeName="Hoja1"/>
  <dimension ref="A1:T66"/>
  <sheetViews>
    <sheetView tabSelected="1" zoomScaleNormal="100" workbookViewId="0">
      <pane xSplit="1" ySplit="7" topLeftCell="G8" activePane="bottomRight" state="frozen"/>
      <selection pane="topRight" activeCell="B1" sqref="B1"/>
      <selection pane="bottomLeft" activeCell="A8" sqref="A8"/>
      <selection pane="bottomRight" activeCell="Q13" sqref="Q13"/>
    </sheetView>
  </sheetViews>
  <sheetFormatPr baseColWidth="10" defaultRowHeight="15" x14ac:dyDescent="0.25"/>
  <cols>
    <col min="1" max="1" width="40.42578125" customWidth="1"/>
    <col min="2" max="3" width="15.140625" customWidth="1"/>
    <col min="16" max="17" width="11.5703125" customWidth="1"/>
  </cols>
  <sheetData>
    <row r="1" spans="1:20" x14ac:dyDescent="0.25">
      <c r="A1" t="s">
        <v>67</v>
      </c>
      <c r="B1" s="17">
        <f ca="1">NOW()</f>
        <v>44369.299192013888</v>
      </c>
      <c r="C1" s="17"/>
      <c r="E1" s="29" t="s">
        <v>75</v>
      </c>
      <c r="H1" s="6" t="s">
        <v>103</v>
      </c>
      <c r="I1" s="6"/>
      <c r="J1" s="6"/>
      <c r="K1" s="6"/>
    </row>
    <row r="2" spans="1:20" x14ac:dyDescent="0.25">
      <c r="A2" s="6" t="s">
        <v>78</v>
      </c>
      <c r="B2" s="7">
        <v>180</v>
      </c>
      <c r="C2" s="7"/>
      <c r="E2" t="s">
        <v>58</v>
      </c>
    </row>
    <row r="3" spans="1:20" x14ac:dyDescent="0.25">
      <c r="A3" t="s">
        <v>62</v>
      </c>
      <c r="B3" s="1">
        <v>0.1</v>
      </c>
      <c r="C3" s="1"/>
      <c r="E3" s="16" t="s">
        <v>64</v>
      </c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5" spans="1:20" x14ac:dyDescent="0.25">
      <c r="A5" t="s">
        <v>30</v>
      </c>
      <c r="B5" s="26" t="s">
        <v>8</v>
      </c>
      <c r="C5" s="26" t="s">
        <v>8</v>
      </c>
      <c r="D5" s="26" t="s">
        <v>8</v>
      </c>
      <c r="E5" s="26" t="s">
        <v>8</v>
      </c>
      <c r="F5" s="26" t="s">
        <v>8</v>
      </c>
      <c r="G5" s="26" t="s">
        <v>8</v>
      </c>
      <c r="H5" s="26" t="s">
        <v>8</v>
      </c>
      <c r="I5" s="26" t="s">
        <v>8</v>
      </c>
      <c r="J5" s="26" t="s">
        <v>8</v>
      </c>
      <c r="K5" s="26" t="s">
        <v>8</v>
      </c>
      <c r="L5" s="26" t="s">
        <v>8</v>
      </c>
      <c r="M5" s="26" t="s">
        <v>8</v>
      </c>
      <c r="N5" s="26" t="s">
        <v>8</v>
      </c>
      <c r="O5" s="27" t="s">
        <v>9</v>
      </c>
      <c r="P5" s="27" t="s">
        <v>9</v>
      </c>
      <c r="Q5" s="27" t="s">
        <v>9</v>
      </c>
      <c r="R5" s="27" t="s">
        <v>9</v>
      </c>
      <c r="S5" s="28" t="s">
        <v>6</v>
      </c>
      <c r="T5" s="28" t="s">
        <v>6</v>
      </c>
    </row>
    <row r="6" spans="1:20" x14ac:dyDescent="0.25">
      <c r="A6" s="3" t="s">
        <v>0</v>
      </c>
      <c r="B6" s="4"/>
      <c r="C6" s="4"/>
      <c r="D6" s="4"/>
      <c r="E6" s="4"/>
      <c r="F6" s="4"/>
      <c r="G6" s="4"/>
      <c r="H6" s="19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</row>
    <row r="7" spans="1:20" ht="23.25" x14ac:dyDescent="0.25">
      <c r="A7" t="s">
        <v>60</v>
      </c>
      <c r="B7" s="10" t="s">
        <v>11</v>
      </c>
      <c r="C7" s="10" t="s">
        <v>121</v>
      </c>
      <c r="D7" s="10" t="s">
        <v>35</v>
      </c>
      <c r="E7" s="10" t="s">
        <v>40</v>
      </c>
      <c r="F7" s="10" t="s">
        <v>76</v>
      </c>
      <c r="G7" s="10" t="s">
        <v>31</v>
      </c>
      <c r="H7" s="47" t="s">
        <v>61</v>
      </c>
      <c r="I7" s="10" t="s">
        <v>12</v>
      </c>
      <c r="J7" s="10" t="s">
        <v>13</v>
      </c>
      <c r="K7" s="10" t="s">
        <v>79</v>
      </c>
      <c r="L7" s="10" t="s">
        <v>82</v>
      </c>
      <c r="M7" s="10" t="s">
        <v>83</v>
      </c>
      <c r="N7" s="10" t="s">
        <v>39</v>
      </c>
      <c r="O7" s="10" t="s">
        <v>14</v>
      </c>
      <c r="P7" s="10" t="s">
        <v>68</v>
      </c>
      <c r="Q7" s="10" t="s">
        <v>71</v>
      </c>
      <c r="R7" s="10" t="s">
        <v>15</v>
      </c>
      <c r="S7" s="10" t="s">
        <v>3</v>
      </c>
      <c r="T7" s="10" t="s">
        <v>106</v>
      </c>
    </row>
    <row r="8" spans="1:20" x14ac:dyDescent="0.25">
      <c r="A8" s="42" t="s">
        <v>85</v>
      </c>
      <c r="B8" s="2">
        <f>VLOOKUP(B7,Tabla1[#All],2,FALSE)</f>
        <v>1</v>
      </c>
      <c r="C8" s="2">
        <f>VLOOKUP(C7,Tabla1[#All],2,FALSE)</f>
        <v>19</v>
      </c>
      <c r="D8" s="2">
        <f>VLOOKUP(D7,Tabla1[#All],2,FALSE)</f>
        <v>2</v>
      </c>
      <c r="E8" s="2">
        <f>VLOOKUP(E7,Tabla1[#All],2,FALSE)</f>
        <v>3</v>
      </c>
      <c r="F8" s="2">
        <f>VLOOKUP(F7,Tabla1[#All],2,FALSE)</f>
        <v>11</v>
      </c>
      <c r="G8" s="2">
        <f>VLOOKUP(G7,Tabla1[#All],2,FALSE)</f>
        <v>9</v>
      </c>
      <c r="H8" s="20">
        <f>VLOOKUP(H7,Tabla1[#All],2,FALSE)</f>
        <v>12</v>
      </c>
      <c r="I8" s="2">
        <f>VLOOKUP(I7,Tabla1[#All],2,FALSE)</f>
        <v>4</v>
      </c>
      <c r="J8" s="2">
        <f>VLOOKUP(J7,Tabla1[#All],2,FALSE)</f>
        <v>5</v>
      </c>
      <c r="K8" s="2">
        <f>VLOOKUP(K7,Tabla1[#All],2,FALSE)</f>
        <v>15</v>
      </c>
      <c r="L8" s="2">
        <f>VLOOKUP(L7,Tabla1[#All],2,FALSE)</f>
        <v>16</v>
      </c>
      <c r="M8" s="2">
        <f>VLOOKUP(M7,Tabla1[#All],2,FALSE)</f>
        <v>17</v>
      </c>
      <c r="N8" s="2">
        <f>VLOOKUP(N7,Tabla1[#All],2,FALSE)</f>
        <v>10</v>
      </c>
      <c r="O8" s="2">
        <f>VLOOKUP(O7,Tabla1[#All],2,FALSE)</f>
        <v>6</v>
      </c>
      <c r="P8" s="2">
        <f>VLOOKUP(P7,Tabla1[#All],2,FALSE)</f>
        <v>13</v>
      </c>
      <c r="Q8" s="2">
        <f>VLOOKUP(Q7,Tabla1[#All],2,FALSE)</f>
        <v>14</v>
      </c>
      <c r="R8" s="2">
        <f>VLOOKUP(R7,Tabla1[#All],2,FALSE)</f>
        <v>7</v>
      </c>
      <c r="S8" s="2">
        <f>VLOOKUP(S7,Tabla1[#All],2,FALSE)</f>
        <v>8</v>
      </c>
      <c r="T8" s="2">
        <f>VLOOKUP(T7,Tabla1[#All],2,FALSE)</f>
        <v>18</v>
      </c>
    </row>
    <row r="9" spans="1:20" ht="23.25" x14ac:dyDescent="0.25">
      <c r="A9" t="s">
        <v>84</v>
      </c>
      <c r="B9" s="10" t="s">
        <v>86</v>
      </c>
      <c r="C9" s="10" t="s">
        <v>122</v>
      </c>
      <c r="D9" s="10" t="s">
        <v>87</v>
      </c>
      <c r="E9" s="10" t="s">
        <v>88</v>
      </c>
      <c r="F9" s="10" t="s">
        <v>89</v>
      </c>
      <c r="G9" s="10" t="s">
        <v>90</v>
      </c>
      <c r="H9" s="47" t="s">
        <v>91</v>
      </c>
      <c r="I9" s="10" t="s">
        <v>92</v>
      </c>
      <c r="J9" s="10" t="s">
        <v>93</v>
      </c>
      <c r="K9" s="10" t="s">
        <v>94</v>
      </c>
      <c r="L9" s="10" t="s">
        <v>95</v>
      </c>
      <c r="M9" s="10" t="s">
        <v>96</v>
      </c>
      <c r="N9" s="10" t="s">
        <v>97</v>
      </c>
      <c r="O9" s="10" t="s">
        <v>99</v>
      </c>
      <c r="P9" s="10" t="s">
        <v>100</v>
      </c>
      <c r="Q9" s="10" t="s">
        <v>101</v>
      </c>
      <c r="R9" s="10" t="s">
        <v>98</v>
      </c>
      <c r="S9" s="10" t="s">
        <v>102</v>
      </c>
      <c r="T9" s="10" t="s">
        <v>107</v>
      </c>
    </row>
    <row r="10" spans="1:20" x14ac:dyDescent="0.25">
      <c r="A10" s="42" t="s">
        <v>7</v>
      </c>
      <c r="B10" s="2">
        <f>VLOOKUP(B5,Tabla3[#All],2,FALSE)</f>
        <v>0</v>
      </c>
      <c r="C10" s="2">
        <f>VLOOKUP(C5,Tabla3[#All],2,FALSE)</f>
        <v>0</v>
      </c>
      <c r="D10" s="2">
        <f>VLOOKUP(D5,Tabla3[#All],2,FALSE)</f>
        <v>0</v>
      </c>
      <c r="E10" s="2">
        <f>VLOOKUP(E5,Tabla3[#All],2,FALSE)</f>
        <v>0</v>
      </c>
      <c r="F10" s="2">
        <f>VLOOKUP(F5,Tabla3[#All],2,FALSE)</f>
        <v>0</v>
      </c>
      <c r="G10" s="2">
        <f>VLOOKUP(G5,Tabla3[#All],2,FALSE)</f>
        <v>0</v>
      </c>
      <c r="H10" s="20">
        <f>VLOOKUP(H5,Tabla3[#All],2,FALSE)</f>
        <v>0</v>
      </c>
      <c r="I10" s="2">
        <f>VLOOKUP(I5,Tabla3[#All],2,FALSE)</f>
        <v>0</v>
      </c>
      <c r="J10" s="2">
        <f>VLOOKUP(J5,Tabla3[#All],2,FALSE)</f>
        <v>0</v>
      </c>
      <c r="K10" s="2">
        <f>VLOOKUP(K5,Tabla3[#All],2,FALSE)</f>
        <v>0</v>
      </c>
      <c r="L10" s="2">
        <f>VLOOKUP(L5,Tabla3[#All],2,FALSE)</f>
        <v>0</v>
      </c>
      <c r="M10" s="2">
        <f>VLOOKUP(M5,Tabla3[#All],2,FALSE)</f>
        <v>0</v>
      </c>
      <c r="N10" s="2">
        <f>VLOOKUP(N5,Tabla3[#All],2,FALSE)</f>
        <v>0</v>
      </c>
      <c r="O10" s="2">
        <f>VLOOKUP(O5,Tabla3[#All],2,FALSE)</f>
        <v>1</v>
      </c>
      <c r="P10" s="2">
        <f>VLOOKUP(P5,Tabla3[#All],2,FALSE)</f>
        <v>1</v>
      </c>
      <c r="Q10" s="2">
        <f>VLOOKUP(Q5,Tabla3[#All],2,FALSE)</f>
        <v>1</v>
      </c>
      <c r="R10" s="2">
        <f>VLOOKUP(R5,Tabla3[#All],2,FALSE)</f>
        <v>1</v>
      </c>
      <c r="S10" s="2">
        <f>VLOOKUP(S5,Tabla3[#All],2,FALSE)</f>
        <v>2</v>
      </c>
      <c r="T10" s="2">
        <f>VLOOKUP(T5,Tabla3[#All],2,FALSE)</f>
        <v>2</v>
      </c>
    </row>
    <row r="11" spans="1:20" x14ac:dyDescent="0.25">
      <c r="A11" s="43" t="s">
        <v>21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 s="8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 x14ac:dyDescent="0.25">
      <c r="A12" s="43" t="s">
        <v>16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 s="8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 s="5" customFormat="1" ht="45" x14ac:dyDescent="0.25">
      <c r="A13" s="56" t="s">
        <v>119</v>
      </c>
      <c r="B13" s="57" t="s">
        <v>125</v>
      </c>
      <c r="C13" s="57" t="s">
        <v>120</v>
      </c>
      <c r="D13" s="5" t="s">
        <v>124</v>
      </c>
      <c r="E13" s="5" t="s">
        <v>126</v>
      </c>
      <c r="F13" s="5" t="s">
        <v>127</v>
      </c>
      <c r="G13" s="5" t="s">
        <v>128</v>
      </c>
      <c r="H13" s="5" t="s">
        <v>135</v>
      </c>
      <c r="I13" s="5" t="s">
        <v>129</v>
      </c>
      <c r="J13" s="5" t="s">
        <v>130</v>
      </c>
      <c r="K13" s="5" t="s">
        <v>131</v>
      </c>
      <c r="L13" s="5" t="s">
        <v>132</v>
      </c>
      <c r="M13" s="5" t="s">
        <v>133</v>
      </c>
      <c r="N13" s="5" t="s">
        <v>134</v>
      </c>
      <c r="O13" s="5" t="s">
        <v>136</v>
      </c>
      <c r="P13" s="5" t="s">
        <v>137</v>
      </c>
      <c r="Q13" s="5" t="s">
        <v>140</v>
      </c>
      <c r="R13" s="5" t="s">
        <v>138</v>
      </c>
      <c r="S13" s="5" t="s">
        <v>123</v>
      </c>
      <c r="T13" s="5" t="s">
        <v>139</v>
      </c>
    </row>
    <row r="14" spans="1:20" x14ac:dyDescent="0.25">
      <c r="A14" s="43" t="s">
        <v>59</v>
      </c>
      <c r="B14">
        <v>-1</v>
      </c>
      <c r="C14">
        <v>-1</v>
      </c>
      <c r="D14">
        <v>-1</v>
      </c>
      <c r="E14">
        <v>-1</v>
      </c>
      <c r="F14">
        <v>-1</v>
      </c>
      <c r="G14">
        <v>-1</v>
      </c>
      <c r="H14" s="8">
        <v>-1</v>
      </c>
      <c r="I14">
        <v>-1</v>
      </c>
      <c r="J14">
        <v>-1</v>
      </c>
      <c r="K14">
        <v>-1</v>
      </c>
      <c r="L14">
        <v>-1</v>
      </c>
      <c r="M14">
        <v>-1</v>
      </c>
      <c r="N14">
        <v>-1</v>
      </c>
      <c r="O14">
        <v>-1</v>
      </c>
      <c r="P14">
        <v>-1</v>
      </c>
      <c r="Q14">
        <v>-1</v>
      </c>
      <c r="R14">
        <v>-1</v>
      </c>
      <c r="S14">
        <v>-1</v>
      </c>
      <c r="T14">
        <v>-1</v>
      </c>
    </row>
    <row r="15" spans="1:20" x14ac:dyDescent="0.25">
      <c r="A15" s="44" t="s">
        <v>27</v>
      </c>
      <c r="B15" s="1">
        <v>50</v>
      </c>
      <c r="C15" s="1">
        <v>175</v>
      </c>
      <c r="D15" s="1">
        <v>50</v>
      </c>
      <c r="E15" s="1">
        <v>175</v>
      </c>
      <c r="F15" s="1">
        <v>25</v>
      </c>
      <c r="G15" s="1">
        <v>40</v>
      </c>
      <c r="H15" s="9">
        <v>350</v>
      </c>
      <c r="I15" s="1">
        <v>10</v>
      </c>
      <c r="J15" s="1">
        <v>10</v>
      </c>
      <c r="K15" s="1">
        <v>30</v>
      </c>
      <c r="L15" s="1">
        <v>10</v>
      </c>
      <c r="M15" s="1">
        <v>10</v>
      </c>
      <c r="N15" s="1">
        <v>5</v>
      </c>
      <c r="O15">
        <v>5</v>
      </c>
      <c r="P15">
        <v>5</v>
      </c>
      <c r="Q15">
        <v>5</v>
      </c>
      <c r="R15">
        <v>30</v>
      </c>
      <c r="S15">
        <v>40</v>
      </c>
      <c r="T15">
        <v>160</v>
      </c>
    </row>
    <row r="16" spans="1:20" x14ac:dyDescent="0.25">
      <c r="A16" s="45" t="s">
        <v>28</v>
      </c>
      <c r="B16" s="1">
        <v>1</v>
      </c>
      <c r="C16" s="1">
        <v>1</v>
      </c>
      <c r="D16" s="1">
        <v>1.3</v>
      </c>
      <c r="E16" s="1">
        <v>1</v>
      </c>
      <c r="F16" s="1">
        <v>1</v>
      </c>
      <c r="G16" s="1">
        <v>1</v>
      </c>
      <c r="H16" s="9">
        <v>1</v>
      </c>
      <c r="I16" s="1">
        <v>1</v>
      </c>
      <c r="J16" s="1">
        <v>1</v>
      </c>
      <c r="K16" s="1">
        <v>1</v>
      </c>
      <c r="L16" s="1">
        <v>1</v>
      </c>
      <c r="M16" s="1">
        <v>1</v>
      </c>
      <c r="N16" s="1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</row>
    <row r="17" spans="1:20" x14ac:dyDescent="0.25">
      <c r="A17" s="45" t="s">
        <v>25</v>
      </c>
      <c r="B17" s="1">
        <v>1000</v>
      </c>
      <c r="C17" s="1">
        <v>0</v>
      </c>
      <c r="D17" s="1">
        <v>0</v>
      </c>
      <c r="E17" s="1">
        <v>0</v>
      </c>
      <c r="F17" s="1">
        <v>800</v>
      </c>
      <c r="G17" s="1">
        <v>0</v>
      </c>
      <c r="H17" s="9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 x14ac:dyDescent="0.25">
      <c r="A18" s="46" t="s">
        <v>26</v>
      </c>
      <c r="B18" s="1">
        <v>1.2</v>
      </c>
      <c r="C18" s="1">
        <v>0</v>
      </c>
      <c r="D18" s="1">
        <v>0</v>
      </c>
      <c r="E18" s="1">
        <v>0</v>
      </c>
      <c r="F18" s="1">
        <v>1.2</v>
      </c>
      <c r="G18" s="1">
        <v>0</v>
      </c>
      <c r="H18" s="9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 x14ac:dyDescent="0.25">
      <c r="A19" t="s">
        <v>17</v>
      </c>
      <c r="B19">
        <v>12</v>
      </c>
      <c r="C19">
        <v>12</v>
      </c>
      <c r="D19">
        <v>10</v>
      </c>
      <c r="E19">
        <v>10</v>
      </c>
      <c r="F19">
        <v>10</v>
      </c>
      <c r="G19">
        <v>15</v>
      </c>
      <c r="H19" s="8">
        <v>3</v>
      </c>
      <c r="I19">
        <v>3</v>
      </c>
      <c r="J19">
        <v>3</v>
      </c>
      <c r="K19">
        <v>3</v>
      </c>
      <c r="L19">
        <v>3</v>
      </c>
      <c r="M19">
        <v>3</v>
      </c>
      <c r="N19">
        <v>3</v>
      </c>
      <c r="O19">
        <v>3</v>
      </c>
      <c r="P19">
        <v>3</v>
      </c>
      <c r="Q19">
        <v>7</v>
      </c>
      <c r="R19">
        <v>4</v>
      </c>
      <c r="S19">
        <v>5</v>
      </c>
      <c r="T19">
        <v>7</v>
      </c>
    </row>
    <row r="20" spans="1:20" x14ac:dyDescent="0.25">
      <c r="A20" s="21" t="s">
        <v>18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 s="8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0.5</v>
      </c>
      <c r="P20">
        <v>0.5</v>
      </c>
      <c r="Q20">
        <v>0.3</v>
      </c>
      <c r="R20">
        <v>0.5</v>
      </c>
      <c r="S20">
        <v>0.3</v>
      </c>
      <c r="T20">
        <v>1</v>
      </c>
    </row>
    <row r="21" spans="1:20" x14ac:dyDescent="0.25">
      <c r="A21" s="22" t="s">
        <v>19</v>
      </c>
      <c r="B21">
        <v>64</v>
      </c>
      <c r="C21">
        <v>64</v>
      </c>
      <c r="D21">
        <v>100</v>
      </c>
      <c r="E21">
        <v>128</v>
      </c>
      <c r="F21">
        <v>180</v>
      </c>
      <c r="G21">
        <v>64</v>
      </c>
      <c r="H21" s="8">
        <v>110</v>
      </c>
      <c r="I21">
        <v>30</v>
      </c>
      <c r="J21">
        <v>40</v>
      </c>
      <c r="K21">
        <v>100</v>
      </c>
      <c r="L21">
        <v>60</v>
      </c>
      <c r="M21">
        <v>128</v>
      </c>
      <c r="N21">
        <v>64</v>
      </c>
      <c r="O21">
        <v>32</v>
      </c>
      <c r="P21">
        <v>32</v>
      </c>
      <c r="Q21">
        <v>48</v>
      </c>
      <c r="R21">
        <v>32</v>
      </c>
      <c r="S21">
        <v>16</v>
      </c>
      <c r="T21">
        <v>1</v>
      </c>
    </row>
    <row r="22" spans="1:20" x14ac:dyDescent="0.25">
      <c r="A22" s="23" t="s">
        <v>34</v>
      </c>
      <c r="B22">
        <v>1</v>
      </c>
      <c r="C22">
        <v>1</v>
      </c>
      <c r="D22">
        <v>1</v>
      </c>
      <c r="E22">
        <v>1</v>
      </c>
      <c r="F22">
        <v>2</v>
      </c>
      <c r="G22">
        <v>1</v>
      </c>
      <c r="H22" s="8">
        <v>4</v>
      </c>
      <c r="I22">
        <v>2</v>
      </c>
      <c r="J22">
        <v>1</v>
      </c>
      <c r="K22">
        <v>5</v>
      </c>
      <c r="L22">
        <v>1</v>
      </c>
      <c r="M22">
        <v>1</v>
      </c>
      <c r="N22">
        <v>4</v>
      </c>
      <c r="O22">
        <v>3</v>
      </c>
      <c r="P22">
        <v>3</v>
      </c>
      <c r="Q22">
        <v>2</v>
      </c>
      <c r="R22">
        <v>2</v>
      </c>
      <c r="S22">
        <v>2</v>
      </c>
      <c r="T22">
        <v>1</v>
      </c>
    </row>
    <row r="23" spans="1:20" x14ac:dyDescent="0.25">
      <c r="A23" s="21" t="s">
        <v>65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 s="8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2</v>
      </c>
      <c r="P23">
        <v>2</v>
      </c>
      <c r="Q23">
        <v>2</v>
      </c>
      <c r="R23">
        <v>2</v>
      </c>
      <c r="S23">
        <v>3</v>
      </c>
      <c r="T23">
        <v>3</v>
      </c>
    </row>
    <row r="24" spans="1:20" x14ac:dyDescent="0.25">
      <c r="A24" s="23" t="s">
        <v>66</v>
      </c>
      <c r="B24">
        <v>3</v>
      </c>
      <c r="C24">
        <v>3</v>
      </c>
      <c r="D24">
        <v>3</v>
      </c>
      <c r="E24">
        <v>3</v>
      </c>
      <c r="F24">
        <v>3</v>
      </c>
      <c r="G24">
        <v>1</v>
      </c>
      <c r="H24" s="8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2</v>
      </c>
      <c r="P24">
        <v>2</v>
      </c>
      <c r="Q24">
        <v>2</v>
      </c>
      <c r="R24">
        <v>2</v>
      </c>
      <c r="S24">
        <v>3</v>
      </c>
      <c r="T24">
        <v>3</v>
      </c>
    </row>
    <row r="25" spans="1:20" x14ac:dyDescent="0.25">
      <c r="A25" s="22" t="s">
        <v>108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s="6">
        <v>32</v>
      </c>
      <c r="P25" s="6">
        <v>32</v>
      </c>
      <c r="Q25" s="6">
        <v>32</v>
      </c>
      <c r="R25" s="6">
        <v>32</v>
      </c>
      <c r="S25">
        <v>64</v>
      </c>
      <c r="T25">
        <v>128</v>
      </c>
    </row>
    <row r="26" spans="1:20" x14ac:dyDescent="0.25">
      <c r="A26" s="22" t="s">
        <v>112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5</v>
      </c>
      <c r="P26">
        <v>5</v>
      </c>
      <c r="Q26">
        <v>5</v>
      </c>
      <c r="R26">
        <v>5</v>
      </c>
      <c r="S26">
        <v>5</v>
      </c>
      <c r="T26">
        <v>10</v>
      </c>
    </row>
    <row r="27" spans="1:20" x14ac:dyDescent="0.25">
      <c r="A27" s="22" t="s">
        <v>113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10</v>
      </c>
      <c r="P27">
        <v>10</v>
      </c>
      <c r="Q27">
        <v>10</v>
      </c>
      <c r="R27">
        <v>10</v>
      </c>
      <c r="S27">
        <v>20</v>
      </c>
      <c r="T27">
        <v>20</v>
      </c>
    </row>
    <row r="28" spans="1:20" x14ac:dyDescent="0.25">
      <c r="A28" s="23" t="s">
        <v>22</v>
      </c>
      <c r="B28">
        <v>400</v>
      </c>
      <c r="C28">
        <v>400</v>
      </c>
      <c r="D28">
        <v>250</v>
      </c>
      <c r="E28">
        <v>200</v>
      </c>
      <c r="F28">
        <v>300</v>
      </c>
      <c r="G28">
        <v>8</v>
      </c>
      <c r="H28" s="8">
        <v>500</v>
      </c>
      <c r="I28">
        <v>6</v>
      </c>
      <c r="J28">
        <v>10</v>
      </c>
      <c r="K28">
        <v>20</v>
      </c>
      <c r="L28">
        <v>10</v>
      </c>
      <c r="M28">
        <v>50</v>
      </c>
      <c r="N28">
        <v>10</v>
      </c>
      <c r="O28">
        <v>1</v>
      </c>
      <c r="P28">
        <v>3</v>
      </c>
      <c r="Q28">
        <v>6</v>
      </c>
      <c r="R28">
        <v>12</v>
      </c>
      <c r="S28">
        <v>30</v>
      </c>
      <c r="T28">
        <v>250</v>
      </c>
    </row>
    <row r="29" spans="1:20" x14ac:dyDescent="0.25">
      <c r="A29" s="8" t="s">
        <v>77</v>
      </c>
      <c r="B29" s="8">
        <v>8</v>
      </c>
      <c r="C29" s="8">
        <v>8</v>
      </c>
      <c r="D29" s="8">
        <v>20</v>
      </c>
      <c r="E29" s="8">
        <v>15</v>
      </c>
      <c r="F29" s="8">
        <v>10</v>
      </c>
      <c r="G29" s="8">
        <v>2</v>
      </c>
      <c r="H29" s="8">
        <v>2</v>
      </c>
      <c r="I29" s="8">
        <v>2</v>
      </c>
      <c r="J29" s="8">
        <v>2</v>
      </c>
      <c r="K29" s="8">
        <v>2</v>
      </c>
      <c r="L29" s="8">
        <v>2</v>
      </c>
      <c r="M29" s="8">
        <v>2</v>
      </c>
      <c r="N29" s="8">
        <v>2</v>
      </c>
      <c r="O29" s="8">
        <v>2</v>
      </c>
      <c r="P29" s="8">
        <v>2</v>
      </c>
      <c r="Q29" s="8">
        <v>2</v>
      </c>
      <c r="R29" s="8">
        <v>2</v>
      </c>
      <c r="S29" s="8">
        <v>2</v>
      </c>
      <c r="T29" s="8">
        <v>2</v>
      </c>
    </row>
    <row r="30" spans="1:20" x14ac:dyDescent="0.25">
      <c r="A30" s="21" t="s">
        <v>46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29">
        <v>0</v>
      </c>
      <c r="H30" s="29">
        <v>0</v>
      </c>
      <c r="I30" s="29">
        <v>0</v>
      </c>
      <c r="J30" s="29">
        <v>0</v>
      </c>
      <c r="K30" s="29">
        <v>0</v>
      </c>
      <c r="L30" s="29">
        <v>0</v>
      </c>
      <c r="M30" s="29">
        <v>0</v>
      </c>
      <c r="N30" s="29">
        <v>0</v>
      </c>
      <c r="O30">
        <v>0.4</v>
      </c>
      <c r="P30">
        <v>0.4</v>
      </c>
      <c r="Q30">
        <v>0.3</v>
      </c>
      <c r="R30">
        <v>0.3</v>
      </c>
      <c r="S30">
        <v>0.4</v>
      </c>
      <c r="T30">
        <v>0.15</v>
      </c>
    </row>
    <row r="31" spans="1:20" x14ac:dyDescent="0.25">
      <c r="A31" s="24" t="s">
        <v>20</v>
      </c>
      <c r="B31">
        <v>0.1</v>
      </c>
      <c r="C31">
        <v>0.1</v>
      </c>
      <c r="D31">
        <v>0.1</v>
      </c>
      <c r="E31">
        <v>7.0000000000000007E-2</v>
      </c>
      <c r="F31">
        <v>0.03</v>
      </c>
      <c r="G31">
        <v>0.2</v>
      </c>
      <c r="H31" s="8">
        <v>0.1</v>
      </c>
      <c r="I31">
        <v>0.1</v>
      </c>
      <c r="J31">
        <v>0.1</v>
      </c>
      <c r="K31">
        <v>0.1</v>
      </c>
      <c r="L31">
        <v>0.1</v>
      </c>
      <c r="M31">
        <v>0.1</v>
      </c>
      <c r="N31">
        <v>0.1</v>
      </c>
      <c r="O31">
        <v>0.2</v>
      </c>
      <c r="P31">
        <v>0.2</v>
      </c>
      <c r="Q31">
        <v>0.3</v>
      </c>
      <c r="R31">
        <v>0.3</v>
      </c>
      <c r="S31">
        <v>0.3</v>
      </c>
      <c r="T31">
        <v>0.3</v>
      </c>
    </row>
    <row r="32" spans="1:20" x14ac:dyDescent="0.25">
      <c r="A32" s="22" t="s">
        <v>74</v>
      </c>
      <c r="B32">
        <v>0.6</v>
      </c>
      <c r="C32">
        <v>0.6</v>
      </c>
      <c r="D32">
        <v>0.5</v>
      </c>
      <c r="E32">
        <v>0.5</v>
      </c>
      <c r="F32">
        <v>0.5</v>
      </c>
      <c r="G32">
        <v>0.6</v>
      </c>
      <c r="H32">
        <v>0.6</v>
      </c>
      <c r="I32">
        <v>0.7</v>
      </c>
      <c r="J32">
        <v>0.7</v>
      </c>
      <c r="K32">
        <v>0.7</v>
      </c>
      <c r="L32">
        <v>0.7</v>
      </c>
      <c r="M32">
        <v>0.7</v>
      </c>
      <c r="N32">
        <v>0.6</v>
      </c>
      <c r="O32">
        <v>0.9</v>
      </c>
      <c r="P32">
        <v>0.9</v>
      </c>
      <c r="Q32">
        <v>0.5</v>
      </c>
      <c r="R32">
        <v>0.8</v>
      </c>
      <c r="S32">
        <v>0.6</v>
      </c>
      <c r="T32">
        <v>0.8</v>
      </c>
    </row>
    <row r="33" spans="1:20" x14ac:dyDescent="0.25">
      <c r="A33" s="34" t="s">
        <v>47</v>
      </c>
      <c r="B33" s="30">
        <v>0.5</v>
      </c>
      <c r="C33" s="30">
        <v>0.5</v>
      </c>
      <c r="D33" s="30">
        <v>1</v>
      </c>
      <c r="E33" s="30">
        <v>1</v>
      </c>
      <c r="F33" s="30">
        <v>1</v>
      </c>
      <c r="G33" s="30">
        <v>0.5</v>
      </c>
      <c r="H33" s="30">
        <v>1</v>
      </c>
      <c r="I33" s="30">
        <v>1.2</v>
      </c>
      <c r="J33" s="30">
        <v>1.5</v>
      </c>
      <c r="K33" s="30">
        <v>1.3</v>
      </c>
      <c r="L33" s="30">
        <v>1.3</v>
      </c>
      <c r="M33" s="30">
        <v>1.2</v>
      </c>
      <c r="N33" s="30">
        <v>1.5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 x14ac:dyDescent="0.25">
      <c r="A34" s="35" t="s">
        <v>69</v>
      </c>
      <c r="B34" s="30">
        <v>0.8</v>
      </c>
      <c r="C34" s="30">
        <v>0.8</v>
      </c>
      <c r="D34" s="30">
        <v>0.9</v>
      </c>
      <c r="E34" s="30">
        <v>0.7</v>
      </c>
      <c r="F34" s="30">
        <v>0.4</v>
      </c>
      <c r="G34" s="31">
        <v>0.5</v>
      </c>
      <c r="H34" s="32">
        <v>0.15</v>
      </c>
      <c r="I34" s="30">
        <v>0.4</v>
      </c>
      <c r="J34" s="30">
        <v>0.04</v>
      </c>
      <c r="K34" s="30">
        <v>0.04</v>
      </c>
      <c r="L34" s="30">
        <v>0.04</v>
      </c>
      <c r="M34" s="30">
        <v>0.4</v>
      </c>
      <c r="N34" s="30">
        <v>0.04</v>
      </c>
      <c r="O34" s="30">
        <v>0.7</v>
      </c>
      <c r="P34" s="30">
        <v>0.7</v>
      </c>
      <c r="Q34" s="30">
        <v>0.3</v>
      </c>
      <c r="R34" s="33">
        <v>0.6</v>
      </c>
      <c r="S34" s="30">
        <v>1.3</v>
      </c>
      <c r="T34" s="30">
        <v>0.3</v>
      </c>
    </row>
    <row r="35" spans="1:20" x14ac:dyDescent="0.25">
      <c r="A35" s="36" t="s">
        <v>42</v>
      </c>
      <c r="B35" s="30">
        <v>0.4</v>
      </c>
      <c r="C35" s="30">
        <v>0.4</v>
      </c>
      <c r="D35" s="30">
        <v>0.7</v>
      </c>
      <c r="E35" s="30">
        <v>0.5</v>
      </c>
      <c r="F35" s="30">
        <v>0.2</v>
      </c>
      <c r="G35" s="31">
        <v>0.5</v>
      </c>
      <c r="H35" s="32">
        <v>0.1</v>
      </c>
      <c r="I35" s="31">
        <v>0.3</v>
      </c>
      <c r="J35" s="30">
        <v>0.4</v>
      </c>
      <c r="K35" s="30">
        <v>0.5</v>
      </c>
      <c r="L35" s="30">
        <v>0.6</v>
      </c>
      <c r="M35" s="30">
        <v>0.3</v>
      </c>
      <c r="N35" s="30">
        <v>0.4</v>
      </c>
      <c r="O35" s="30">
        <v>7.0000000000000007E-2</v>
      </c>
      <c r="P35" s="30">
        <v>7.0000000000000007E-2</v>
      </c>
      <c r="Q35" s="30">
        <v>0.06</v>
      </c>
      <c r="R35" s="33">
        <v>0.08</v>
      </c>
      <c r="S35" s="30">
        <v>0.1</v>
      </c>
      <c r="T35" s="30">
        <v>0.02</v>
      </c>
    </row>
    <row r="36" spans="1:20" x14ac:dyDescent="0.25">
      <c r="A36" s="37" t="s">
        <v>23</v>
      </c>
      <c r="B36" s="1">
        <v>20</v>
      </c>
      <c r="C36" s="1">
        <v>20</v>
      </c>
      <c r="D36" s="1">
        <v>24</v>
      </c>
      <c r="E36" s="1">
        <v>20</v>
      </c>
      <c r="F36" s="1">
        <v>27</v>
      </c>
      <c r="G36" s="1">
        <v>20</v>
      </c>
      <c r="H36" s="9">
        <v>20</v>
      </c>
      <c r="I36" s="1">
        <v>25</v>
      </c>
      <c r="J36" s="1">
        <v>20</v>
      </c>
      <c r="K36" s="1">
        <v>20</v>
      </c>
      <c r="L36" s="1">
        <v>20</v>
      </c>
      <c r="M36" s="1">
        <v>20</v>
      </c>
      <c r="N36" s="1">
        <v>-10</v>
      </c>
      <c r="O36" s="7">
        <v>15</v>
      </c>
      <c r="P36" s="7">
        <v>15</v>
      </c>
      <c r="Q36" s="7">
        <v>15</v>
      </c>
      <c r="R36" s="7">
        <v>0</v>
      </c>
      <c r="S36" s="7">
        <v>0</v>
      </c>
      <c r="T36" s="7">
        <v>0</v>
      </c>
    </row>
    <row r="37" spans="1:20" x14ac:dyDescent="0.25">
      <c r="A37" s="38" t="s">
        <v>33</v>
      </c>
      <c r="B37" s="1">
        <v>8</v>
      </c>
      <c r="C37" s="1">
        <v>8</v>
      </c>
      <c r="D37" s="1">
        <v>3</v>
      </c>
      <c r="E37" s="9">
        <v>5</v>
      </c>
      <c r="F37" s="1">
        <v>5</v>
      </c>
      <c r="G37" s="1">
        <v>10</v>
      </c>
      <c r="H37" s="9">
        <v>10</v>
      </c>
      <c r="I37" s="1">
        <v>8</v>
      </c>
      <c r="J37" s="1">
        <v>5</v>
      </c>
      <c r="K37" s="1">
        <v>5</v>
      </c>
      <c r="L37" s="1">
        <v>5</v>
      </c>
      <c r="M37" s="1">
        <v>10</v>
      </c>
      <c r="N37" s="1">
        <v>20</v>
      </c>
      <c r="O37" s="7">
        <v>15</v>
      </c>
      <c r="P37" s="7">
        <v>15</v>
      </c>
      <c r="Q37" s="7">
        <v>14</v>
      </c>
      <c r="R37" s="7">
        <v>50</v>
      </c>
      <c r="S37" s="7">
        <v>50</v>
      </c>
      <c r="T37" s="7">
        <v>50</v>
      </c>
    </row>
    <row r="38" spans="1:20" x14ac:dyDescent="0.25">
      <c r="A38" s="39" t="s">
        <v>43</v>
      </c>
      <c r="B38" s="1">
        <v>0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9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</row>
    <row r="39" spans="1:20" x14ac:dyDescent="0.25">
      <c r="A39" s="40" t="s">
        <v>44</v>
      </c>
      <c r="B39" s="9">
        <v>0.9</v>
      </c>
      <c r="C39" s="9">
        <v>0.9</v>
      </c>
      <c r="D39" s="9">
        <v>0.9</v>
      </c>
      <c r="E39" s="9">
        <v>0.7</v>
      </c>
      <c r="F39" s="9">
        <v>0.7</v>
      </c>
      <c r="G39" s="9">
        <v>0.1</v>
      </c>
      <c r="H39" s="9">
        <v>0.7</v>
      </c>
      <c r="I39" s="9">
        <v>0.7</v>
      </c>
      <c r="J39" s="9">
        <v>0.7</v>
      </c>
      <c r="K39" s="9">
        <v>0.7</v>
      </c>
      <c r="L39" s="9">
        <v>0.7</v>
      </c>
      <c r="M39" s="9">
        <v>0.7</v>
      </c>
      <c r="N39" s="9">
        <v>0.9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</row>
    <row r="40" spans="1:20" x14ac:dyDescent="0.25">
      <c r="A40" s="41" t="s">
        <v>45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9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</row>
    <row r="41" spans="1:20" x14ac:dyDescent="0.25">
      <c r="A41" s="6" t="s">
        <v>29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 s="8">
        <v>1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0" x14ac:dyDescent="0.25">
      <c r="A42" s="25" t="s">
        <v>70</v>
      </c>
      <c r="B42" s="6">
        <v>3</v>
      </c>
      <c r="C42" s="6">
        <v>3</v>
      </c>
      <c r="D42" s="6">
        <v>5</v>
      </c>
      <c r="E42" s="6">
        <v>5</v>
      </c>
      <c r="F42" s="6">
        <v>5</v>
      </c>
      <c r="G42" s="6">
        <v>4</v>
      </c>
      <c r="H42" s="6">
        <v>200</v>
      </c>
      <c r="I42" s="6">
        <v>4</v>
      </c>
      <c r="J42" s="6">
        <v>4</v>
      </c>
      <c r="K42" s="6">
        <v>4</v>
      </c>
      <c r="L42" s="6">
        <v>4</v>
      </c>
      <c r="M42" s="6">
        <v>4</v>
      </c>
      <c r="N42" s="6">
        <v>0.2</v>
      </c>
      <c r="O42" s="6">
        <v>0.5</v>
      </c>
      <c r="P42" s="6">
        <v>0.5</v>
      </c>
      <c r="Q42" s="6">
        <v>0.2</v>
      </c>
      <c r="R42" s="6">
        <v>2</v>
      </c>
      <c r="S42" s="6">
        <v>5</v>
      </c>
      <c r="T42" s="6">
        <v>5</v>
      </c>
    </row>
    <row r="43" spans="1:20" x14ac:dyDescent="0.25">
      <c r="A43" s="6"/>
    </row>
    <row r="44" spans="1:20" x14ac:dyDescent="0.25">
      <c r="A44" s="6"/>
      <c r="H44" s="6"/>
    </row>
    <row r="45" spans="1:20" x14ac:dyDescent="0.25">
      <c r="A45" s="6"/>
      <c r="H45" s="6"/>
    </row>
    <row r="46" spans="1:20" x14ac:dyDescent="0.25">
      <c r="A46" s="3" t="s">
        <v>1</v>
      </c>
      <c r="B46" s="4"/>
      <c r="C46" s="4"/>
      <c r="D46" s="4"/>
      <c r="E46" s="4"/>
      <c r="F46" s="4"/>
      <c r="G46" s="4"/>
      <c r="H46" s="13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</row>
    <row r="47" spans="1:20" s="5" customFormat="1" ht="45" x14ac:dyDescent="0.25">
      <c r="A47" s="5" t="s">
        <v>36</v>
      </c>
      <c r="F47" s="14" t="s">
        <v>41</v>
      </c>
      <c r="G47" s="14" t="s">
        <v>37</v>
      </c>
      <c r="H47" s="14"/>
      <c r="I47" s="14"/>
      <c r="J47" s="14"/>
      <c r="K47" s="14"/>
      <c r="L47" s="14"/>
      <c r="M47" s="14"/>
      <c r="N47" s="14" t="s">
        <v>38</v>
      </c>
    </row>
    <row r="48" spans="1:20" x14ac:dyDescent="0.25">
      <c r="H48" s="6"/>
    </row>
    <row r="49" spans="1:20" x14ac:dyDescent="0.25">
      <c r="A49" t="s">
        <v>73</v>
      </c>
      <c r="B49" s="26" t="str">
        <f t="shared" ref="B49:T49" si="0">+B5</f>
        <v>PRODUCER</v>
      </c>
      <c r="C49" s="26" t="str">
        <f t="shared" ref="C49" si="1">+C5</f>
        <v>PRODUCER</v>
      </c>
      <c r="D49" s="26" t="str">
        <f t="shared" si="0"/>
        <v>PRODUCER</v>
      </c>
      <c r="E49" s="26" t="str">
        <f t="shared" si="0"/>
        <v>PRODUCER</v>
      </c>
      <c r="F49" s="26" t="str">
        <f t="shared" si="0"/>
        <v>PRODUCER</v>
      </c>
      <c r="G49" s="26" t="str">
        <f t="shared" si="0"/>
        <v>PRODUCER</v>
      </c>
      <c r="H49" s="26" t="str">
        <f t="shared" si="0"/>
        <v>PRODUCER</v>
      </c>
      <c r="I49" s="26" t="str">
        <f t="shared" si="0"/>
        <v>PRODUCER</v>
      </c>
      <c r="J49" s="26" t="str">
        <f t="shared" si="0"/>
        <v>PRODUCER</v>
      </c>
      <c r="K49" s="26" t="str">
        <f t="shared" si="0"/>
        <v>PRODUCER</v>
      </c>
      <c r="L49" s="26" t="str">
        <f t="shared" si="0"/>
        <v>PRODUCER</v>
      </c>
      <c r="M49" s="26" t="str">
        <f t="shared" si="0"/>
        <v>PRODUCER</v>
      </c>
      <c r="N49" s="26" t="str">
        <f t="shared" si="0"/>
        <v>PRODUCER</v>
      </c>
      <c r="O49" s="27" t="str">
        <f t="shared" si="0"/>
        <v>PRIMARY</v>
      </c>
      <c r="P49" s="27" t="str">
        <f t="shared" si="0"/>
        <v>PRIMARY</v>
      </c>
      <c r="Q49" s="27" t="str">
        <f t="shared" si="0"/>
        <v>PRIMARY</v>
      </c>
      <c r="R49" s="27" t="str">
        <f>+R5</f>
        <v>PRIMARY</v>
      </c>
      <c r="S49" s="28" t="str">
        <f t="shared" si="0"/>
        <v>SECONDARY</v>
      </c>
      <c r="T49" s="28" t="str">
        <f t="shared" si="0"/>
        <v>SECONDARY</v>
      </c>
    </row>
    <row r="50" spans="1:20" x14ac:dyDescent="0.25">
      <c r="A50" t="s">
        <v>32</v>
      </c>
      <c r="B50" s="15">
        <f t="shared" ref="B50:C50" si="2">+B35/B34/$B$2/$B$3</f>
        <v>2.7777777777777776E-2</v>
      </c>
      <c r="C50" s="15">
        <f t="shared" si="2"/>
        <v>2.7777777777777776E-2</v>
      </c>
      <c r="D50" s="15">
        <f>+D35/D34/$B$2/$B$3</f>
        <v>4.3209876543209867E-2</v>
      </c>
      <c r="E50" s="15">
        <f t="shared" ref="E50:N50" si="3">+E35/E34/$B$2/$B$3</f>
        <v>3.968253968253968E-2</v>
      </c>
      <c r="F50" s="15">
        <f t="shared" si="3"/>
        <v>2.7777777777777776E-2</v>
      </c>
      <c r="G50" s="15">
        <f t="shared" si="3"/>
        <v>5.5555555555555552E-2</v>
      </c>
      <c r="H50" s="15">
        <f t="shared" si="3"/>
        <v>3.7037037037037042E-2</v>
      </c>
      <c r="I50" s="15">
        <f>+I35/I34/$B$2/$B$3</f>
        <v>4.1666666666666657E-2</v>
      </c>
      <c r="J50" s="15">
        <f t="shared" ref="J50:L50" si="4">+J35/J34/$B$2/$B$3</f>
        <v>0.55555555555555547</v>
      </c>
      <c r="K50" s="15">
        <f t="shared" si="4"/>
        <v>0.69444444444444442</v>
      </c>
      <c r="L50" s="15">
        <f t="shared" si="4"/>
        <v>0.83333333333333326</v>
      </c>
      <c r="M50" s="15">
        <f t="shared" si="3"/>
        <v>4.1666666666666657E-2</v>
      </c>
      <c r="N50" s="15">
        <f t="shared" si="3"/>
        <v>0.55555555555555547</v>
      </c>
      <c r="O50" s="54">
        <f t="shared" ref="O50:T50" si="5">+O30</f>
        <v>0.4</v>
      </c>
      <c r="P50" s="54">
        <f t="shared" si="5"/>
        <v>0.4</v>
      </c>
      <c r="Q50" s="54">
        <f t="shared" si="5"/>
        <v>0.3</v>
      </c>
      <c r="R50" s="54">
        <f>+R30</f>
        <v>0.3</v>
      </c>
      <c r="S50" s="54">
        <f t="shared" si="5"/>
        <v>0.4</v>
      </c>
      <c r="T50" s="54">
        <f t="shared" si="5"/>
        <v>0.15</v>
      </c>
    </row>
    <row r="51" spans="1:20" x14ac:dyDescent="0.25">
      <c r="H51" s="6"/>
    </row>
    <row r="52" spans="1:20" x14ac:dyDescent="0.25">
      <c r="A52" t="s">
        <v>109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 s="53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10</v>
      </c>
      <c r="P52">
        <v>10</v>
      </c>
      <c r="Q52">
        <v>10</v>
      </c>
      <c r="R52">
        <v>10</v>
      </c>
      <c r="S52">
        <v>10</v>
      </c>
      <c r="T52">
        <v>10</v>
      </c>
    </row>
    <row r="53" spans="1:20" x14ac:dyDescent="0.25">
      <c r="A53" t="s">
        <v>111</v>
      </c>
      <c r="B53" s="18">
        <f>+B50*B28*$B$3*$B$2*B33</f>
        <v>100</v>
      </c>
      <c r="C53" s="18">
        <f>+C50*C28*$B$3*$B$2*C33</f>
        <v>100</v>
      </c>
      <c r="D53" s="18">
        <f t="shared" ref="D53:N53" si="6">+D50*D28*$B$3*$B$2*D33</f>
        <v>194.4444444444444</v>
      </c>
      <c r="E53" s="18">
        <f t="shared" si="6"/>
        <v>142.85714285714286</v>
      </c>
      <c r="F53" s="18">
        <f t="shared" si="6"/>
        <v>150</v>
      </c>
      <c r="G53" s="18">
        <f t="shared" si="6"/>
        <v>4</v>
      </c>
      <c r="H53" s="18">
        <f t="shared" si="6"/>
        <v>333.33333333333343</v>
      </c>
      <c r="I53" s="18">
        <f>+I50*I28*$B$3*$B$2*I33</f>
        <v>5.3999999999999986</v>
      </c>
      <c r="J53" s="18">
        <f t="shared" ref="J53:L53" si="7">+J50*J28*$B$3*$B$2*J33</f>
        <v>149.99999999999997</v>
      </c>
      <c r="K53" s="18">
        <f t="shared" si="7"/>
        <v>325.00000000000006</v>
      </c>
      <c r="L53" s="18">
        <f t="shared" si="7"/>
        <v>195</v>
      </c>
      <c r="M53" s="18">
        <f t="shared" si="6"/>
        <v>45</v>
      </c>
      <c r="N53" s="18">
        <f t="shared" si="6"/>
        <v>149.99999999999997</v>
      </c>
      <c r="O53" s="48">
        <f t="shared" ref="O53:T53" si="8">+O50*O28</f>
        <v>0.4</v>
      </c>
      <c r="P53" s="48">
        <f t="shared" si="8"/>
        <v>1.2000000000000002</v>
      </c>
      <c r="Q53" s="48">
        <f t="shared" si="8"/>
        <v>1.7999999999999998</v>
      </c>
      <c r="R53" s="48">
        <f>+R50*R28</f>
        <v>3.5999999999999996</v>
      </c>
      <c r="S53" s="48">
        <f t="shared" si="8"/>
        <v>12</v>
      </c>
      <c r="T53" s="48">
        <f t="shared" si="8"/>
        <v>37.5</v>
      </c>
    </row>
    <row r="54" spans="1:20" x14ac:dyDescent="0.25">
      <c r="A54" t="s">
        <v>63</v>
      </c>
      <c r="B54" s="49">
        <f t="shared" ref="B54:Q54" si="9">+B53*B34/B52</f>
        <v>80</v>
      </c>
      <c r="C54" s="49">
        <f t="shared" ref="C54" si="10">+C53*C34/C52</f>
        <v>80</v>
      </c>
      <c r="D54" s="49">
        <f t="shared" si="9"/>
        <v>174.99999999999997</v>
      </c>
      <c r="E54" s="49">
        <f t="shared" si="9"/>
        <v>100</v>
      </c>
      <c r="F54" s="51">
        <f t="shared" si="9"/>
        <v>60</v>
      </c>
      <c r="G54" s="51">
        <f t="shared" si="9"/>
        <v>2</v>
      </c>
      <c r="H54" s="51">
        <f t="shared" si="9"/>
        <v>50.000000000000014</v>
      </c>
      <c r="I54" s="51">
        <f t="shared" si="9"/>
        <v>2.1599999999999997</v>
      </c>
      <c r="J54" s="51">
        <f t="shared" si="9"/>
        <v>5.9999999999999991</v>
      </c>
      <c r="K54" s="51">
        <f t="shared" si="9"/>
        <v>13.000000000000002</v>
      </c>
      <c r="L54" s="51">
        <f t="shared" si="9"/>
        <v>7.8</v>
      </c>
      <c r="M54" s="51">
        <f t="shared" si="9"/>
        <v>18</v>
      </c>
      <c r="N54" s="51">
        <f t="shared" si="9"/>
        <v>5.9999999999999991</v>
      </c>
      <c r="O54" s="51">
        <f t="shared" si="9"/>
        <v>2.7999999999999997E-2</v>
      </c>
      <c r="P54" s="51">
        <f t="shared" si="9"/>
        <v>8.4000000000000005E-2</v>
      </c>
      <c r="Q54" s="51">
        <f t="shared" si="9"/>
        <v>5.3999999999999992E-2</v>
      </c>
      <c r="R54" s="51">
        <f>+R53*R34/R52</f>
        <v>0.21599999999999997</v>
      </c>
      <c r="S54" s="51">
        <f>+S53*S34/S52</f>
        <v>1.56</v>
      </c>
      <c r="T54" s="51">
        <f t="shared" ref="T54" si="11">+T53*T34/T52</f>
        <v>1.125</v>
      </c>
    </row>
    <row r="55" spans="1:20" x14ac:dyDescent="0.25">
      <c r="A55" t="s">
        <v>110</v>
      </c>
      <c r="B55" s="51">
        <f t="shared" ref="B55:G55" si="12">+B35*B28*(1-B50)/B52</f>
        <v>155.55555555555554</v>
      </c>
      <c r="C55" s="51">
        <f t="shared" ref="C55" si="13">+C35*C28*(1-C50)/C52</f>
        <v>155.55555555555554</v>
      </c>
      <c r="D55" s="51">
        <f t="shared" si="12"/>
        <v>167.43827160493828</v>
      </c>
      <c r="E55" s="51">
        <f t="shared" si="12"/>
        <v>96.031746031746039</v>
      </c>
      <c r="F55" s="51">
        <f t="shared" si="12"/>
        <v>58.333333333333336</v>
      </c>
      <c r="G55" s="51">
        <f t="shared" si="12"/>
        <v>3.7777777777777777</v>
      </c>
      <c r="H55" s="51">
        <f>+H35*H28*(1-H50)/H52</f>
        <v>48.148148148148145</v>
      </c>
      <c r="I55" s="51">
        <f t="shared" ref="I55:N55" si="14">+I35*I28*(1-I50)/I52</f>
        <v>1.7249999999999999</v>
      </c>
      <c r="J55" s="51">
        <f t="shared" si="14"/>
        <v>1.7777777777777781</v>
      </c>
      <c r="K55" s="51">
        <f t="shared" si="14"/>
        <v>3.0555555555555558</v>
      </c>
      <c r="L55" s="51">
        <f t="shared" si="14"/>
        <v>1.0000000000000004</v>
      </c>
      <c r="M55" s="51">
        <f t="shared" si="14"/>
        <v>14.375</v>
      </c>
      <c r="N55" s="51">
        <f t="shared" si="14"/>
        <v>1.7777777777777781</v>
      </c>
      <c r="O55" s="51">
        <f t="shared" ref="O55:T55" si="15">+O35*O28*(1-O30)/O52</f>
        <v>4.2000000000000006E-3</v>
      </c>
      <c r="P55" s="51">
        <f t="shared" si="15"/>
        <v>1.26E-2</v>
      </c>
      <c r="Q55" s="51">
        <f t="shared" si="15"/>
        <v>2.52E-2</v>
      </c>
      <c r="R55" s="51">
        <f>+R35*R28*(1-R30)/R52</f>
        <v>6.7199999999999996E-2</v>
      </c>
      <c r="S55" s="51">
        <f t="shared" si="15"/>
        <v>0.18</v>
      </c>
      <c r="T55" s="51">
        <f t="shared" si="15"/>
        <v>0.42499999999999999</v>
      </c>
    </row>
    <row r="56" spans="1:20" x14ac:dyDescent="0.25">
      <c r="A56" t="s">
        <v>117</v>
      </c>
      <c r="B56" s="49">
        <f>+B54-B55</f>
        <v>-75.555555555555543</v>
      </c>
      <c r="C56" s="49">
        <f>+C54-C55</f>
        <v>-75.555555555555543</v>
      </c>
      <c r="D56" s="49">
        <f t="shared" ref="D56:S56" si="16">+D54-D55</f>
        <v>7.5617283950616923</v>
      </c>
      <c r="E56" s="49">
        <f t="shared" si="16"/>
        <v>3.9682539682539613</v>
      </c>
      <c r="F56" s="51">
        <f t="shared" si="16"/>
        <v>1.6666666666666643</v>
      </c>
      <c r="G56" s="51">
        <f t="shared" si="16"/>
        <v>-1.7777777777777777</v>
      </c>
      <c r="H56" s="51">
        <f t="shared" si="16"/>
        <v>1.851851851851869</v>
      </c>
      <c r="I56" s="51">
        <f t="shared" si="16"/>
        <v>0.43499999999999983</v>
      </c>
      <c r="J56" s="51">
        <f t="shared" si="16"/>
        <v>4.2222222222222214</v>
      </c>
      <c r="K56" s="51">
        <f t="shared" si="16"/>
        <v>9.9444444444444464</v>
      </c>
      <c r="L56" s="51">
        <f t="shared" si="16"/>
        <v>6.7999999999999989</v>
      </c>
      <c r="M56" s="51">
        <f t="shared" si="16"/>
        <v>3.625</v>
      </c>
      <c r="N56" s="51">
        <f t="shared" si="16"/>
        <v>4.2222222222222214</v>
      </c>
      <c r="O56" s="51">
        <f t="shared" si="16"/>
        <v>2.3799999999999995E-2</v>
      </c>
      <c r="P56" s="51">
        <f t="shared" si="16"/>
        <v>7.1400000000000005E-2</v>
      </c>
      <c r="Q56" s="51">
        <f t="shared" si="16"/>
        <v>2.8799999999999992E-2</v>
      </c>
      <c r="R56" s="51">
        <f>+R54-R55</f>
        <v>0.14879999999999999</v>
      </c>
      <c r="S56" s="51">
        <f t="shared" si="16"/>
        <v>1.3800000000000001</v>
      </c>
      <c r="T56" s="51">
        <f t="shared" ref="T56" si="17">+T54-T55</f>
        <v>0.7</v>
      </c>
    </row>
    <row r="57" spans="1:20" x14ac:dyDescent="0.25">
      <c r="B57" s="49"/>
      <c r="C57" s="49"/>
      <c r="D57" s="49"/>
      <c r="E57" s="49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</row>
    <row r="58" spans="1:20" x14ac:dyDescent="0.25">
      <c r="A58" t="s">
        <v>114</v>
      </c>
      <c r="B58" s="50">
        <f t="shared" ref="B58:S58" si="18">+B56/B28</f>
        <v>-0.18888888888888886</v>
      </c>
      <c r="C58" s="50">
        <f t="shared" ref="C58" si="19">+C56/C28</f>
        <v>-0.18888888888888886</v>
      </c>
      <c r="D58" s="50">
        <f t="shared" si="18"/>
        <v>3.0246913580246768E-2</v>
      </c>
      <c r="E58" s="50">
        <f t="shared" si="18"/>
        <v>1.9841269841269805E-2</v>
      </c>
      <c r="F58" s="52">
        <f t="shared" si="18"/>
        <v>5.555555555555548E-3</v>
      </c>
      <c r="G58" s="52">
        <f t="shared" si="18"/>
        <v>-0.22222222222222221</v>
      </c>
      <c r="H58" s="52">
        <f t="shared" si="18"/>
        <v>3.7037037037037381E-3</v>
      </c>
      <c r="I58" s="52">
        <f t="shared" si="18"/>
        <v>7.2499999999999967E-2</v>
      </c>
      <c r="J58" s="52">
        <f t="shared" si="18"/>
        <v>0.42222222222222217</v>
      </c>
      <c r="K58" s="52">
        <f t="shared" si="18"/>
        <v>0.49722222222222234</v>
      </c>
      <c r="L58" s="52">
        <f t="shared" si="18"/>
        <v>0.67999999999999994</v>
      </c>
      <c r="M58" s="52">
        <f t="shared" si="18"/>
        <v>7.2499999999999995E-2</v>
      </c>
      <c r="N58" s="52">
        <f t="shared" si="18"/>
        <v>0.42222222222222217</v>
      </c>
      <c r="O58" s="52">
        <f t="shared" si="18"/>
        <v>2.3799999999999995E-2</v>
      </c>
      <c r="P58" s="52">
        <f t="shared" si="18"/>
        <v>2.3800000000000002E-2</v>
      </c>
      <c r="Q58" s="52">
        <f t="shared" si="18"/>
        <v>4.7999999999999987E-3</v>
      </c>
      <c r="R58" s="52">
        <f>+R56/R28</f>
        <v>1.24E-2</v>
      </c>
      <c r="S58" s="52">
        <f t="shared" si="18"/>
        <v>4.6000000000000006E-2</v>
      </c>
      <c r="T58" s="52">
        <f>+T56/T28</f>
        <v>2.8E-3</v>
      </c>
    </row>
    <row r="59" spans="1:20" x14ac:dyDescent="0.25">
      <c r="A59" t="s">
        <v>115</v>
      </c>
      <c r="B59" s="49">
        <f t="shared" ref="B59:N59" si="20">+B28*B32/B55</f>
        <v>1.5428571428571429</v>
      </c>
      <c r="C59" s="49">
        <f t="shared" ref="C59" si="21">+C28*C32/C55</f>
        <v>1.5428571428571429</v>
      </c>
      <c r="D59" s="49">
        <f t="shared" si="20"/>
        <v>0.74654377880184331</v>
      </c>
      <c r="E59" s="49">
        <f t="shared" si="20"/>
        <v>1.0413223140495866</v>
      </c>
      <c r="F59" s="51">
        <f t="shared" si="20"/>
        <v>2.5714285714285712</v>
      </c>
      <c r="G59" s="51">
        <f t="shared" si="20"/>
        <v>1.2705882352941176</v>
      </c>
      <c r="H59" s="51">
        <f t="shared" si="20"/>
        <v>6.2307692307692308</v>
      </c>
      <c r="I59" s="51">
        <f t="shared" si="20"/>
        <v>2.4347826086956519</v>
      </c>
      <c r="J59" s="51">
        <f t="shared" si="20"/>
        <v>3.9374999999999991</v>
      </c>
      <c r="K59" s="51">
        <f t="shared" si="20"/>
        <v>4.5818181818181811</v>
      </c>
      <c r="L59" s="51">
        <f t="shared" si="20"/>
        <v>6.9999999999999964</v>
      </c>
      <c r="M59" s="51">
        <f t="shared" si="20"/>
        <v>2.4347826086956523</v>
      </c>
      <c r="N59" s="51">
        <f t="shared" si="20"/>
        <v>3.3749999999999996</v>
      </c>
      <c r="O59" s="51">
        <f t="shared" ref="O59:T59" si="22">+O28*O32/O55</f>
        <v>214.28571428571425</v>
      </c>
      <c r="P59" s="51">
        <f t="shared" si="22"/>
        <v>214.28571428571431</v>
      </c>
      <c r="Q59" s="51">
        <f t="shared" si="22"/>
        <v>119.04761904761905</v>
      </c>
      <c r="R59" s="51">
        <f>+R28*R32/R55</f>
        <v>142.85714285714289</v>
      </c>
      <c r="S59" s="51">
        <f t="shared" si="22"/>
        <v>100</v>
      </c>
      <c r="T59" s="51">
        <f t="shared" si="22"/>
        <v>470.58823529411768</v>
      </c>
    </row>
    <row r="60" spans="1:20" x14ac:dyDescent="0.25">
      <c r="A60" t="s">
        <v>116</v>
      </c>
      <c r="B60" s="49">
        <f t="shared" ref="B60:Q60" si="23">+B28</f>
        <v>400</v>
      </c>
      <c r="C60" s="49">
        <f t="shared" ref="C60" si="24">+C28</f>
        <v>400</v>
      </c>
      <c r="D60" s="49">
        <f t="shared" si="23"/>
        <v>250</v>
      </c>
      <c r="E60" s="49">
        <f t="shared" si="23"/>
        <v>200</v>
      </c>
      <c r="F60" s="51">
        <f t="shared" si="23"/>
        <v>300</v>
      </c>
      <c r="G60" s="51">
        <f t="shared" si="23"/>
        <v>8</v>
      </c>
      <c r="H60" s="51">
        <f t="shared" si="23"/>
        <v>500</v>
      </c>
      <c r="I60" s="51">
        <f t="shared" si="23"/>
        <v>6</v>
      </c>
      <c r="J60" s="51">
        <f t="shared" si="23"/>
        <v>10</v>
      </c>
      <c r="K60" s="51">
        <f t="shared" si="23"/>
        <v>20</v>
      </c>
      <c r="L60" s="51">
        <f t="shared" si="23"/>
        <v>10</v>
      </c>
      <c r="M60" s="51">
        <f t="shared" si="23"/>
        <v>50</v>
      </c>
      <c r="N60" s="51">
        <f t="shared" si="23"/>
        <v>10</v>
      </c>
      <c r="O60" s="51">
        <f t="shared" si="23"/>
        <v>1</v>
      </c>
      <c r="P60" s="51">
        <f t="shared" si="23"/>
        <v>3</v>
      </c>
      <c r="Q60" s="51">
        <f t="shared" si="23"/>
        <v>6</v>
      </c>
      <c r="R60" s="51">
        <f>+R28</f>
        <v>12</v>
      </c>
      <c r="S60" s="51">
        <f>+S28</f>
        <v>30</v>
      </c>
      <c r="T60" s="51">
        <f t="shared" ref="T60" si="25">+T28</f>
        <v>250</v>
      </c>
    </row>
    <row r="61" spans="1:20" x14ac:dyDescent="0.25">
      <c r="A61" t="s">
        <v>105</v>
      </c>
      <c r="B61" s="49">
        <f t="shared" ref="B61:Q61" si="26">B60*B31/B22</f>
        <v>40</v>
      </c>
      <c r="C61" s="49">
        <f t="shared" ref="C61" si="27">C60*C31/C22</f>
        <v>40</v>
      </c>
      <c r="D61" s="49">
        <f t="shared" si="26"/>
        <v>25</v>
      </c>
      <c r="E61" s="49">
        <f t="shared" si="26"/>
        <v>14.000000000000002</v>
      </c>
      <c r="F61" s="51">
        <f t="shared" si="26"/>
        <v>4.5</v>
      </c>
      <c r="G61" s="51">
        <f t="shared" si="26"/>
        <v>1.6</v>
      </c>
      <c r="H61" s="51">
        <f t="shared" si="26"/>
        <v>12.5</v>
      </c>
      <c r="I61" s="51">
        <f t="shared" si="26"/>
        <v>0.30000000000000004</v>
      </c>
      <c r="J61" s="51">
        <f t="shared" si="26"/>
        <v>1</v>
      </c>
      <c r="K61" s="51">
        <f t="shared" si="26"/>
        <v>0.4</v>
      </c>
      <c r="L61" s="51">
        <f t="shared" si="26"/>
        <v>1</v>
      </c>
      <c r="M61" s="51">
        <f t="shared" si="26"/>
        <v>5</v>
      </c>
      <c r="N61" s="51">
        <f t="shared" si="26"/>
        <v>0.25</v>
      </c>
      <c r="O61" s="51">
        <f t="shared" si="26"/>
        <v>6.6666666666666666E-2</v>
      </c>
      <c r="P61" s="51">
        <f t="shared" si="26"/>
        <v>0.20000000000000004</v>
      </c>
      <c r="Q61" s="51">
        <f t="shared" si="26"/>
        <v>0.89999999999999991</v>
      </c>
      <c r="R61" s="51">
        <f>R60*R31/R22</f>
        <v>1.7999999999999998</v>
      </c>
      <c r="S61" s="51">
        <f>S60*S31/S22</f>
        <v>4.5</v>
      </c>
      <c r="T61" s="51">
        <f t="shared" ref="T61" si="28">T60*T31/T22</f>
        <v>75</v>
      </c>
    </row>
    <row r="62" spans="1:20" x14ac:dyDescent="0.25">
      <c r="A62" t="s">
        <v>118</v>
      </c>
      <c r="B62" s="49">
        <f t="shared" ref="B62:Q62" si="29">+(B60-B61)/B56</f>
        <v>-4.764705882352942</v>
      </c>
      <c r="C62" s="49">
        <f t="shared" ref="C62" si="30">+(C60-C61)/C56</f>
        <v>-4.764705882352942</v>
      </c>
      <c r="D62" s="49">
        <f t="shared" si="29"/>
        <v>29.755102040816467</v>
      </c>
      <c r="E62" s="49">
        <f t="shared" si="29"/>
        <v>46.872000000000085</v>
      </c>
      <c r="F62" s="49">
        <f t="shared" si="29"/>
        <v>177.30000000000024</v>
      </c>
      <c r="G62" s="49">
        <f t="shared" si="29"/>
        <v>-3.6000000000000005</v>
      </c>
      <c r="H62" s="49">
        <f t="shared" si="29"/>
        <v>263.24999999999756</v>
      </c>
      <c r="I62" s="49">
        <f t="shared" si="29"/>
        <v>13.103448275862075</v>
      </c>
      <c r="J62" s="49">
        <f t="shared" si="29"/>
        <v>2.1315789473684212</v>
      </c>
      <c r="K62" s="49">
        <f t="shared" si="29"/>
        <v>1.9709497206703908</v>
      </c>
      <c r="L62" s="49">
        <f t="shared" si="29"/>
        <v>1.3235294117647061</v>
      </c>
      <c r="M62" s="49">
        <f t="shared" si="29"/>
        <v>12.413793103448276</v>
      </c>
      <c r="N62" s="49">
        <f t="shared" si="29"/>
        <v>2.3092105263157898</v>
      </c>
      <c r="O62" s="49">
        <f t="shared" si="29"/>
        <v>39.215686274509814</v>
      </c>
      <c r="P62" s="49">
        <f t="shared" si="29"/>
        <v>39.2156862745098</v>
      </c>
      <c r="Q62" s="49">
        <f t="shared" si="29"/>
        <v>177.08333333333337</v>
      </c>
      <c r="R62" s="49">
        <f>+(R60-R61)/R56</f>
        <v>68.548387096774192</v>
      </c>
      <c r="S62" s="49">
        <f>+(S60-S61)/S56</f>
        <v>18.478260869565215</v>
      </c>
      <c r="T62" s="49">
        <f t="shared" ref="T62" si="31">+(T60-T61)/T56</f>
        <v>250.00000000000003</v>
      </c>
    </row>
    <row r="63" spans="1:20" x14ac:dyDescent="0.25">
      <c r="B63" s="49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</row>
    <row r="64" spans="1:20" x14ac:dyDescent="0.25">
      <c r="F64" s="53"/>
      <c r="G64" s="53"/>
      <c r="H64" s="53"/>
      <c r="I64" s="53" t="s">
        <v>72</v>
      </c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</row>
    <row r="65" spans="1:20" x14ac:dyDescent="0.25">
      <c r="A65" t="s">
        <v>104</v>
      </c>
      <c r="B65">
        <f>+B28*(1+B31)*1.1</f>
        <v>484.00000000000011</v>
      </c>
      <c r="C65">
        <f>+C28*(1+C31)*1.1</f>
        <v>484.00000000000011</v>
      </c>
      <c r="D65">
        <f t="shared" ref="D65:S65" si="32">+D28*(1+D31)*1.1</f>
        <v>302.5</v>
      </c>
      <c r="E65">
        <f t="shared" si="32"/>
        <v>235.4</v>
      </c>
      <c r="F65">
        <f t="shared" si="32"/>
        <v>339.90000000000003</v>
      </c>
      <c r="G65">
        <f t="shared" si="32"/>
        <v>10.56</v>
      </c>
      <c r="H65">
        <f t="shared" si="32"/>
        <v>605</v>
      </c>
      <c r="I65">
        <f t="shared" si="32"/>
        <v>7.2600000000000016</v>
      </c>
      <c r="J65">
        <f t="shared" si="32"/>
        <v>12.100000000000001</v>
      </c>
      <c r="K65">
        <f t="shared" si="32"/>
        <v>24.200000000000003</v>
      </c>
      <c r="L65">
        <f t="shared" si="32"/>
        <v>12.100000000000001</v>
      </c>
      <c r="M65">
        <f t="shared" si="32"/>
        <v>60.500000000000014</v>
      </c>
      <c r="N65">
        <f t="shared" si="32"/>
        <v>12.100000000000001</v>
      </c>
      <c r="O65">
        <f t="shared" si="32"/>
        <v>1.32</v>
      </c>
      <c r="P65">
        <f t="shared" si="32"/>
        <v>3.96</v>
      </c>
      <c r="Q65">
        <f t="shared" si="32"/>
        <v>8.5800000000000018</v>
      </c>
      <c r="R65">
        <f>+R28*(1+R31)*1.1</f>
        <v>17.160000000000004</v>
      </c>
      <c r="S65">
        <f t="shared" si="32"/>
        <v>42.900000000000006</v>
      </c>
      <c r="T65">
        <f t="shared" ref="T65" si="33">+T28*(1+T31)*1.1</f>
        <v>357.50000000000006</v>
      </c>
    </row>
    <row r="66" spans="1:20" x14ac:dyDescent="0.25">
      <c r="A66" t="s">
        <v>105</v>
      </c>
      <c r="B66" s="55">
        <f t="shared" ref="B66:T66" si="34">+B28*B31/B22</f>
        <v>40</v>
      </c>
      <c r="C66" s="55">
        <f t="shared" ref="C66" si="35">+C28*C31/C22</f>
        <v>40</v>
      </c>
      <c r="D66" s="55">
        <f t="shared" si="34"/>
        <v>25</v>
      </c>
      <c r="E66" s="55">
        <f t="shared" si="34"/>
        <v>14.000000000000002</v>
      </c>
      <c r="F66" s="55">
        <f t="shared" si="34"/>
        <v>4.5</v>
      </c>
      <c r="G66" s="55">
        <f t="shared" si="34"/>
        <v>1.6</v>
      </c>
      <c r="H66" s="55">
        <f t="shared" si="34"/>
        <v>12.5</v>
      </c>
      <c r="I66" s="55">
        <f t="shared" si="34"/>
        <v>0.30000000000000004</v>
      </c>
      <c r="J66" s="55">
        <f t="shared" si="34"/>
        <v>1</v>
      </c>
      <c r="K66" s="55">
        <f t="shared" si="34"/>
        <v>0.4</v>
      </c>
      <c r="L66" s="55">
        <f t="shared" si="34"/>
        <v>1</v>
      </c>
      <c r="M66" s="55">
        <f t="shared" si="34"/>
        <v>5</v>
      </c>
      <c r="N66" s="55">
        <f t="shared" si="34"/>
        <v>0.25</v>
      </c>
      <c r="O66" s="55">
        <f t="shared" si="34"/>
        <v>6.6666666666666666E-2</v>
      </c>
      <c r="P66" s="55">
        <f t="shared" si="34"/>
        <v>0.20000000000000004</v>
      </c>
      <c r="Q66" s="55">
        <f t="shared" si="34"/>
        <v>0.89999999999999991</v>
      </c>
      <c r="R66" s="55">
        <f>+R28*R31/R22</f>
        <v>1.7999999999999998</v>
      </c>
      <c r="S66" s="55">
        <f t="shared" si="34"/>
        <v>4.5</v>
      </c>
      <c r="T66" s="55">
        <f t="shared" si="34"/>
        <v>75</v>
      </c>
    </row>
  </sheetData>
  <conditionalFormatting sqref="O9 O7">
    <cfRule type="duplicateValues" dxfId="20" priority="45"/>
  </conditionalFormatting>
  <conditionalFormatting sqref="S9 S7">
    <cfRule type="duplicateValues" dxfId="19" priority="47"/>
  </conditionalFormatting>
  <conditionalFormatting sqref="G9 G7">
    <cfRule type="duplicateValues" dxfId="18" priority="49"/>
  </conditionalFormatting>
  <conditionalFormatting sqref="M7">
    <cfRule type="duplicateValues" dxfId="17" priority="59"/>
  </conditionalFormatting>
  <conditionalFormatting sqref="E9 E7">
    <cfRule type="duplicateValues" dxfId="16" priority="61"/>
  </conditionalFormatting>
  <conditionalFormatting sqref="D9 D7">
    <cfRule type="duplicateValues" dxfId="15" priority="63"/>
  </conditionalFormatting>
  <conditionalFormatting sqref="H9 H7">
    <cfRule type="duplicateValues" dxfId="14" priority="65"/>
  </conditionalFormatting>
  <conditionalFormatting sqref="P9 P7">
    <cfRule type="duplicateValues" dxfId="13" priority="67"/>
  </conditionalFormatting>
  <conditionalFormatting sqref="Q9 Q7">
    <cfRule type="duplicateValues" dxfId="12" priority="69"/>
  </conditionalFormatting>
  <conditionalFormatting sqref="J9 J7">
    <cfRule type="duplicateValues" dxfId="11" priority="71"/>
  </conditionalFormatting>
  <conditionalFormatting sqref="K7">
    <cfRule type="duplicateValues" dxfId="10" priority="83"/>
  </conditionalFormatting>
  <conditionalFormatting sqref="L7">
    <cfRule type="duplicateValues" dxfId="9" priority="85"/>
  </conditionalFormatting>
  <conditionalFormatting sqref="K9">
    <cfRule type="duplicateValues" dxfId="8" priority="7"/>
  </conditionalFormatting>
  <conditionalFormatting sqref="L9">
    <cfRule type="duplicateValues" dxfId="7" priority="6"/>
  </conditionalFormatting>
  <conditionalFormatting sqref="M9">
    <cfRule type="duplicateValues" dxfId="6" priority="5"/>
  </conditionalFormatting>
  <conditionalFormatting sqref="T9 T7">
    <cfRule type="duplicateValues" dxfId="5" priority="3"/>
  </conditionalFormatting>
  <conditionalFormatting sqref="T9">
    <cfRule type="duplicateValues" dxfId="4" priority="4"/>
  </conditionalFormatting>
  <conditionalFormatting sqref="R9 I9 I7 N9 N7 R7 B9 B7 F9 F7 D7 D9">
    <cfRule type="duplicateValues" dxfId="3" priority="88"/>
  </conditionalFormatting>
  <conditionalFormatting sqref="R9:S9 N9:O9 N7:O7 F9:G9 F7:G7 I9 I7 B9 B7 R7:S7 D7 D9">
    <cfRule type="duplicateValues" dxfId="2" priority="91"/>
  </conditionalFormatting>
  <conditionalFormatting sqref="C9 C7">
    <cfRule type="duplicateValues" dxfId="1" priority="1"/>
  </conditionalFormatting>
  <conditionalFormatting sqref="C9 C7">
    <cfRule type="duplicateValues" dxfId="0" priority="2"/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DCFE51-E5A0-46C0-BA78-677466E1BE10}">
          <x14:formula1>
            <xm:f>Tables!$A$33:$A$36</xm:f>
          </x14:formula1>
          <xm:sqref>B5:T5</xm:sqref>
        </x14:dataValidation>
        <x14:dataValidation type="list" allowBlank="1" showInputMessage="1" showErrorMessage="1" xr:uid="{B3D47E63-4CCF-498A-86C2-6290C49D352E}">
          <x14:formula1>
            <xm:f>Tables!$A$4:$A$27</xm:f>
          </x14:formula1>
          <xm:sqref>B10:T10 B7:T7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BAD23-665C-45A0-A2F6-8BFEBBDF1CAA}">
  <sheetPr codeName="Hoja2"/>
  <dimension ref="A4:C36"/>
  <sheetViews>
    <sheetView workbookViewId="0">
      <selection activeCell="A25" sqref="A25"/>
    </sheetView>
  </sheetViews>
  <sheetFormatPr baseColWidth="10" defaultRowHeight="15" x14ac:dyDescent="0.25"/>
  <cols>
    <col min="1" max="1" width="23.28515625" customWidth="1"/>
    <col min="2" max="2" width="12" customWidth="1"/>
  </cols>
  <sheetData>
    <row r="4" spans="1:3" x14ac:dyDescent="0.25">
      <c r="A4" t="s">
        <v>4</v>
      </c>
      <c r="B4" t="s">
        <v>5</v>
      </c>
    </row>
    <row r="5" spans="1:3" x14ac:dyDescent="0.25">
      <c r="A5" t="s">
        <v>10</v>
      </c>
      <c r="B5">
        <v>0</v>
      </c>
      <c r="C5" t="s">
        <v>2</v>
      </c>
    </row>
    <row r="6" spans="1:3" x14ac:dyDescent="0.25">
      <c r="A6" t="s">
        <v>11</v>
      </c>
      <c r="B6">
        <v>1</v>
      </c>
    </row>
    <row r="7" spans="1:3" x14ac:dyDescent="0.25">
      <c r="A7" t="s">
        <v>35</v>
      </c>
      <c r="B7">
        <v>2</v>
      </c>
    </row>
    <row r="8" spans="1:3" x14ac:dyDescent="0.25">
      <c r="A8" t="s">
        <v>40</v>
      </c>
      <c r="B8">
        <v>3</v>
      </c>
    </row>
    <row r="9" spans="1:3" x14ac:dyDescent="0.25">
      <c r="A9" t="s">
        <v>12</v>
      </c>
      <c r="B9">
        <v>4</v>
      </c>
    </row>
    <row r="10" spans="1:3" x14ac:dyDescent="0.25">
      <c r="A10" t="s">
        <v>13</v>
      </c>
      <c r="B10">
        <v>5</v>
      </c>
    </row>
    <row r="11" spans="1:3" x14ac:dyDescent="0.25">
      <c r="A11" t="s">
        <v>14</v>
      </c>
      <c r="B11">
        <v>6</v>
      </c>
    </row>
    <row r="12" spans="1:3" x14ac:dyDescent="0.25">
      <c r="A12" t="s">
        <v>15</v>
      </c>
      <c r="B12">
        <v>7</v>
      </c>
    </row>
    <row r="13" spans="1:3" x14ac:dyDescent="0.25">
      <c r="A13" t="s">
        <v>3</v>
      </c>
      <c r="B13">
        <v>8</v>
      </c>
    </row>
    <row r="14" spans="1:3" x14ac:dyDescent="0.25">
      <c r="A14" t="s">
        <v>31</v>
      </c>
      <c r="B14">
        <v>9</v>
      </c>
    </row>
    <row r="15" spans="1:3" x14ac:dyDescent="0.25">
      <c r="A15" t="s">
        <v>39</v>
      </c>
      <c r="B15">
        <v>10</v>
      </c>
    </row>
    <row r="16" spans="1:3" x14ac:dyDescent="0.25">
      <c r="A16" t="s">
        <v>76</v>
      </c>
      <c r="B16">
        <v>11</v>
      </c>
    </row>
    <row r="17" spans="1:2" x14ac:dyDescent="0.25">
      <c r="A17" t="s">
        <v>61</v>
      </c>
      <c r="B17">
        <v>12</v>
      </c>
    </row>
    <row r="18" spans="1:2" x14ac:dyDescent="0.25">
      <c r="A18" t="s">
        <v>68</v>
      </c>
      <c r="B18">
        <v>13</v>
      </c>
    </row>
    <row r="19" spans="1:2" x14ac:dyDescent="0.25">
      <c r="A19" t="s">
        <v>71</v>
      </c>
      <c r="B19">
        <v>14</v>
      </c>
    </row>
    <row r="20" spans="1:2" x14ac:dyDescent="0.25">
      <c r="A20" t="s">
        <v>79</v>
      </c>
      <c r="B20">
        <v>15</v>
      </c>
    </row>
    <row r="21" spans="1:2" x14ac:dyDescent="0.25">
      <c r="A21" t="s">
        <v>82</v>
      </c>
      <c r="B21">
        <v>16</v>
      </c>
    </row>
    <row r="22" spans="1:2" x14ac:dyDescent="0.25">
      <c r="A22" t="s">
        <v>83</v>
      </c>
      <c r="B22">
        <v>17</v>
      </c>
    </row>
    <row r="23" spans="1:2" x14ac:dyDescent="0.25">
      <c r="A23" t="s">
        <v>106</v>
      </c>
      <c r="B23">
        <v>18</v>
      </c>
    </row>
    <row r="24" spans="1:2" x14ac:dyDescent="0.25">
      <c r="A24" t="s">
        <v>121</v>
      </c>
      <c r="B24">
        <v>19</v>
      </c>
    </row>
    <row r="26" spans="1:2" x14ac:dyDescent="0.25">
      <c r="A26" t="s">
        <v>81</v>
      </c>
    </row>
    <row r="27" spans="1:2" x14ac:dyDescent="0.25">
      <c r="A27" s="6" t="s">
        <v>80</v>
      </c>
      <c r="B27">
        <v>99</v>
      </c>
    </row>
    <row r="33" spans="1:2" x14ac:dyDescent="0.25">
      <c r="A33" t="s">
        <v>7</v>
      </c>
      <c r="B33" t="s">
        <v>5</v>
      </c>
    </row>
    <row r="34" spans="1:2" x14ac:dyDescent="0.25">
      <c r="A34" t="s">
        <v>8</v>
      </c>
      <c r="B34">
        <v>0</v>
      </c>
    </row>
    <row r="35" spans="1:2" x14ac:dyDescent="0.25">
      <c r="A35" t="s">
        <v>9</v>
      </c>
      <c r="B35">
        <v>1</v>
      </c>
    </row>
    <row r="36" spans="1:2" x14ac:dyDescent="0.25">
      <c r="A36" t="s">
        <v>6</v>
      </c>
      <c r="B36">
        <v>2</v>
      </c>
    </row>
  </sheetData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08F63-CD92-41DE-B855-9BA4093DE986}">
  <sheetPr codeName="Hoja3"/>
  <dimension ref="A1:G18"/>
  <sheetViews>
    <sheetView workbookViewId="0">
      <selection activeCell="F11" sqref="F11"/>
    </sheetView>
  </sheetViews>
  <sheetFormatPr baseColWidth="10" defaultRowHeight="15" x14ac:dyDescent="0.25"/>
  <sheetData>
    <row r="1" spans="1:7" x14ac:dyDescent="0.25">
      <c r="B1" t="s">
        <v>55</v>
      </c>
      <c r="C1" t="s">
        <v>56</v>
      </c>
      <c r="E1" t="s">
        <v>55</v>
      </c>
      <c r="F1" t="s">
        <v>57</v>
      </c>
    </row>
    <row r="2" spans="1:7" x14ac:dyDescent="0.25">
      <c r="A2" t="s">
        <v>50</v>
      </c>
      <c r="B2">
        <v>0</v>
      </c>
      <c r="C2">
        <v>2</v>
      </c>
      <c r="E2">
        <v>0.2</v>
      </c>
      <c r="F2">
        <v>0</v>
      </c>
    </row>
    <row r="3" spans="1:7" x14ac:dyDescent="0.25">
      <c r="A3" t="s">
        <v>51</v>
      </c>
      <c r="B3">
        <v>1.5</v>
      </c>
      <c r="C3">
        <v>3</v>
      </c>
      <c r="E3">
        <v>0.3</v>
      </c>
      <c r="F3">
        <v>1</v>
      </c>
    </row>
    <row r="4" spans="1:7" x14ac:dyDescent="0.25">
      <c r="A4" t="s">
        <v>52</v>
      </c>
      <c r="B4">
        <v>2.5</v>
      </c>
      <c r="C4">
        <v>0</v>
      </c>
      <c r="E4">
        <v>0.4</v>
      </c>
      <c r="F4">
        <v>2</v>
      </c>
    </row>
    <row r="5" spans="1:7" x14ac:dyDescent="0.25">
      <c r="A5" t="s">
        <v>53</v>
      </c>
      <c r="B5">
        <v>9999999</v>
      </c>
      <c r="C5">
        <v>1</v>
      </c>
      <c r="E5">
        <v>9999999</v>
      </c>
      <c r="F5">
        <v>3</v>
      </c>
    </row>
    <row r="10" spans="1:7" s="5" customFormat="1" ht="60" x14ac:dyDescent="0.25">
      <c r="B10" s="5" t="s">
        <v>24</v>
      </c>
      <c r="C10" s="5" t="s">
        <v>42</v>
      </c>
      <c r="E10" s="12" t="s">
        <v>54</v>
      </c>
      <c r="F10" s="5" t="s">
        <v>48</v>
      </c>
      <c r="G10" s="5" t="s">
        <v>49</v>
      </c>
    </row>
    <row r="11" spans="1:7" x14ac:dyDescent="0.25">
      <c r="B11">
        <v>0.4</v>
      </c>
      <c r="C11" s="11">
        <v>0.2</v>
      </c>
      <c r="E11">
        <f>+(B11-C11)*10</f>
        <v>2</v>
      </c>
    </row>
    <row r="12" spans="1:7" x14ac:dyDescent="0.25">
      <c r="B12">
        <v>0.01</v>
      </c>
      <c r="C12" s="11">
        <v>0.01</v>
      </c>
      <c r="E12">
        <f t="shared" ref="E12:E18" si="0">+(B12-C12)*10</f>
        <v>0</v>
      </c>
    </row>
    <row r="13" spans="1:7" x14ac:dyDescent="0.25">
      <c r="B13">
        <v>0.05</v>
      </c>
      <c r="C13" s="11">
        <v>0.09</v>
      </c>
      <c r="E13">
        <f t="shared" si="0"/>
        <v>-0.39999999999999991</v>
      </c>
    </row>
    <row r="14" spans="1:7" x14ac:dyDescent="0.25">
      <c r="B14">
        <v>0.06</v>
      </c>
      <c r="C14" s="11">
        <v>0.8</v>
      </c>
      <c r="E14">
        <f t="shared" si="0"/>
        <v>-7.4</v>
      </c>
    </row>
    <row r="15" spans="1:7" x14ac:dyDescent="0.25">
      <c r="B15">
        <v>1</v>
      </c>
      <c r="C15" s="11">
        <v>0.1</v>
      </c>
      <c r="E15">
        <f t="shared" si="0"/>
        <v>9</v>
      </c>
    </row>
    <row r="16" spans="1:7" x14ac:dyDescent="0.25">
      <c r="B16">
        <v>0.04</v>
      </c>
      <c r="C16" s="11">
        <v>0.2</v>
      </c>
      <c r="E16">
        <f t="shared" si="0"/>
        <v>-1.6</v>
      </c>
    </row>
    <row r="17" spans="2:5" x14ac:dyDescent="0.25">
      <c r="B17">
        <v>0.04</v>
      </c>
      <c r="C17" s="11">
        <v>0.4</v>
      </c>
      <c r="E17">
        <f t="shared" si="0"/>
        <v>-3.6000000000000005</v>
      </c>
    </row>
    <row r="18" spans="2:5" x14ac:dyDescent="0.25">
      <c r="B18">
        <v>0.04</v>
      </c>
      <c r="C18" s="11">
        <v>0.4</v>
      </c>
      <c r="E18">
        <f t="shared" si="0"/>
        <v>-3.6000000000000005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genus</vt:lpstr>
      <vt:lpstr>Tables</vt:lpstr>
      <vt:lpstr>Sprite_image_simulator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 Dalmau</dc:creator>
  <cp:lastModifiedBy>Ricard Dalmau</cp:lastModifiedBy>
  <cp:lastPrinted>2021-05-10T18:45:57Z</cp:lastPrinted>
  <dcterms:created xsi:type="dcterms:W3CDTF">2015-06-05T18:19:34Z</dcterms:created>
  <dcterms:modified xsi:type="dcterms:W3CDTF">2021-06-22T05:11:03Z</dcterms:modified>
</cp:coreProperties>
</file>