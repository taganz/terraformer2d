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641367ab90122e/_tec/codi/GM/Terraformer2D/"/>
    </mc:Choice>
  </mc:AlternateContent>
  <xr:revisionPtr revIDLastSave="0" documentId="8_{A553432C-AF33-4ADB-90B8-539121658792}" xr6:coauthVersionLast="47" xr6:coauthVersionMax="47" xr10:uidLastSave="{00000000-0000-0000-0000-000000000000}"/>
  <bookViews>
    <workbookView xWindow="4890" yWindow="825" windowWidth="22380" windowHeight="19170" xr2:uid="{00000000-000D-0000-FFFF-FFFF00000000}"/>
  </bookViews>
  <sheets>
    <sheet name="genus" sheetId="3" r:id="rId1"/>
    <sheet name="Tables" sheetId="4" r:id="rId2"/>
    <sheet name="Sprite_image_simulator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3" i="3" l="1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K51" i="3"/>
  <c r="K47" i="3"/>
  <c r="K50" i="3" s="1"/>
  <c r="K46" i="3"/>
  <c r="K8" i="3"/>
  <c r="K11" i="3"/>
  <c r="J51" i="3"/>
  <c r="J47" i="3"/>
  <c r="J49" i="3" s="1"/>
  <c r="J46" i="3"/>
  <c r="J8" i="3"/>
  <c r="J11" i="3"/>
  <c r="I51" i="3"/>
  <c r="I47" i="3"/>
  <c r="I50" i="3" s="1"/>
  <c r="I46" i="3"/>
  <c r="I8" i="3"/>
  <c r="I11" i="3"/>
  <c r="M47" i="3"/>
  <c r="M50" i="3" s="1"/>
  <c r="L47" i="3"/>
  <c r="L50" i="3" s="1"/>
  <c r="G47" i="3"/>
  <c r="G49" i="3" s="1"/>
  <c r="H47" i="3"/>
  <c r="H49" i="3" s="1"/>
  <c r="F47" i="3"/>
  <c r="F49" i="3" s="1"/>
  <c r="E47" i="3"/>
  <c r="E50" i="3" s="1"/>
  <c r="D47" i="3"/>
  <c r="D50" i="3" s="1"/>
  <c r="B47" i="3"/>
  <c r="B50" i="3" s="1"/>
  <c r="C47" i="3"/>
  <c r="C49" i="3" s="1"/>
  <c r="R46" i="3"/>
  <c r="Q46" i="3"/>
  <c r="P46" i="3"/>
  <c r="O46" i="3"/>
  <c r="N46" i="3"/>
  <c r="M46" i="3"/>
  <c r="L46" i="3"/>
  <c r="G46" i="3"/>
  <c r="H46" i="3"/>
  <c r="F46" i="3"/>
  <c r="E46" i="3"/>
  <c r="D46" i="3"/>
  <c r="C46" i="3"/>
  <c r="B46" i="3"/>
  <c r="R47" i="3"/>
  <c r="R49" i="3" s="1"/>
  <c r="R50" i="3" s="1"/>
  <c r="Q47" i="3"/>
  <c r="Q49" i="3" s="1"/>
  <c r="Q50" i="3" s="1"/>
  <c r="P47" i="3"/>
  <c r="P49" i="3" s="1"/>
  <c r="P50" i="3" s="1"/>
  <c r="O47" i="3"/>
  <c r="O49" i="3" s="1"/>
  <c r="O50" i="3" s="1"/>
  <c r="N47" i="3"/>
  <c r="N49" i="3" s="1"/>
  <c r="N50" i="3" s="1"/>
  <c r="R51" i="3"/>
  <c r="Q51" i="3"/>
  <c r="P51" i="3"/>
  <c r="O51" i="3"/>
  <c r="N51" i="3"/>
  <c r="Q8" i="3"/>
  <c r="Q11" i="3"/>
  <c r="B1" i="3"/>
  <c r="P8" i="3"/>
  <c r="P11" i="3"/>
  <c r="M51" i="3"/>
  <c r="L51" i="3"/>
  <c r="H51" i="3"/>
  <c r="F51" i="3"/>
  <c r="E51" i="3"/>
  <c r="D51" i="3"/>
  <c r="C51" i="3"/>
  <c r="B51" i="3"/>
  <c r="G51" i="3"/>
  <c r="G8" i="3"/>
  <c r="G11" i="3"/>
  <c r="E18" i="5"/>
  <c r="E17" i="5"/>
  <c r="E16" i="5"/>
  <c r="E15" i="5"/>
  <c r="E14" i="5"/>
  <c r="E13" i="5"/>
  <c r="E12" i="5"/>
  <c r="E11" i="5"/>
  <c r="D8" i="3"/>
  <c r="D11" i="3"/>
  <c r="L8" i="3"/>
  <c r="L11" i="3"/>
  <c r="F8" i="3"/>
  <c r="F11" i="3"/>
  <c r="R8" i="3"/>
  <c r="R11" i="3"/>
  <c r="O8" i="3"/>
  <c r="O11" i="3"/>
  <c r="C8" i="3"/>
  <c r="N8" i="3"/>
  <c r="M8" i="3"/>
  <c r="H8" i="3"/>
  <c r="E8" i="3"/>
  <c r="B8" i="3"/>
  <c r="N11" i="3"/>
  <c r="M11" i="3"/>
  <c r="H11" i="3"/>
  <c r="E11" i="3"/>
  <c r="C11" i="3"/>
  <c r="B11" i="3"/>
  <c r="F50" i="3" l="1"/>
  <c r="J50" i="3"/>
  <c r="K49" i="3"/>
  <c r="I49" i="3"/>
  <c r="H50" i="3"/>
  <c r="E49" i="3"/>
  <c r="L49" i="3"/>
  <c r="G50" i="3"/>
  <c r="C50" i="3"/>
  <c r="B49" i="3"/>
  <c r="D49" i="3"/>
  <c r="M4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 Dalmau</author>
  </authors>
  <commentList>
    <comment ref="A31" authorId="0" shapeId="0" xr:uid="{DF3650A6-B6C2-45A8-9464-2BF746300551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Aprox 10% mass goes up into next thropic level</t>
        </r>
      </text>
    </comment>
    <comment ref="A35" authorId="0" shapeId="0" xr:uid="{6EC34207-E0B4-452E-B700-5C4500558972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dormancy state will be triggered when temperature factor reaches this leve</t>
        </r>
      </text>
    </comment>
    <comment ref="A40" authorId="0" shapeId="0" xr:uid="{AC5AF4F0-BD59-4DF7-A2B9-16AAD27ECE38}">
      <text>
        <r>
          <rPr>
            <b/>
            <sz val="9"/>
            <color indexed="81"/>
            <rFont val="Tahoma"/>
            <family val="2"/>
          </rPr>
          <t>Ricard Dalmau:</t>
        </r>
        <r>
          <rPr>
            <sz val="9"/>
            <color indexed="81"/>
            <rFont val="Tahoma"/>
            <family val="2"/>
          </rPr>
          <t xml:space="preserve">
BIOMASS_REPRODUCTION ja no cal </t>
        </r>
      </text>
    </comment>
  </commentList>
</comments>
</file>

<file path=xl/sharedStrings.xml><?xml version="1.0" encoding="utf-8"?>
<sst xmlns="http://schemas.openxmlformats.org/spreadsheetml/2006/main" count="164" uniqueCount="125">
  <si>
    <t>GEN_START</t>
  </si>
  <si>
    <t>GEN_END</t>
  </si>
  <si>
    <t>// parent specie for initial species</t>
  </si>
  <si>
    <t>SECONDARY_SMALL</t>
  </si>
  <si>
    <t>SPECIE</t>
  </si>
  <si>
    <t>Columna1</t>
  </si>
  <si>
    <t>SECONDARY</t>
  </si>
  <si>
    <t>TROPHIC_LEVEL</t>
  </si>
  <si>
    <t>PRODUCER</t>
  </si>
  <si>
    <t>PRIMARY</t>
  </si>
  <si>
    <t>NOPARENT</t>
  </si>
  <si>
    <t>PLANT_TREE</t>
  </si>
  <si>
    <t>PLANT_BUSH</t>
  </si>
  <si>
    <t>PLANT_BUSH_2</t>
  </si>
  <si>
    <t>PRIMARY_TINY</t>
  </si>
  <si>
    <t>PRIMARY_SMALL</t>
  </si>
  <si>
    <t>Tree</t>
  </si>
  <si>
    <t>Primary small</t>
  </si>
  <si>
    <t>Primary tiny</t>
  </si>
  <si>
    <t>Secondary small</t>
  </si>
  <si>
    <t>PARENT_SPECIE_CODE</t>
  </si>
  <si>
    <t>AGE_DEAD</t>
  </si>
  <si>
    <t>REPRODUCTION_INTERVAL</t>
  </si>
  <si>
    <t>REPRODUCTION_DISTANCE</t>
  </si>
  <si>
    <t>ALLOCATION_REPRODUCTIVE</t>
  </si>
  <si>
    <t>SPECIE_CODE</t>
  </si>
  <si>
    <t>BIOMASS_ADULT</t>
  </si>
  <si>
    <t>TEMPERATURE_OPTIMAL</t>
  </si>
  <si>
    <t>ANABOLISM_BIOMASS_PER_WATER_L</t>
  </si>
  <si>
    <t>PLANT_BODY_DENSITY</t>
  </si>
  <si>
    <t>PLANT_BODY_FORM_FACTOR</t>
  </si>
  <si>
    <t>PLANT_HEAD_DENSITY</t>
  </si>
  <si>
    <t>PLANT_HEAD_FORM_FACTOR</t>
  </si>
  <si>
    <t>DEPRECATED_10</t>
  </si>
  <si>
    <t>T.Level</t>
  </si>
  <si>
    <t>PLANT_DESERT</t>
  </si>
  <si>
    <t>LMFa</t>
  </si>
  <si>
    <t>Plant desert</t>
  </si>
  <si>
    <t>TEMPERATURE_RANGE</t>
  </si>
  <si>
    <t>REPRODUCTION_QUANTITY</t>
  </si>
  <si>
    <t>TREE_TROPICAL</t>
  </si>
  <si>
    <t>Comments</t>
  </si>
  <si>
    <t>High temp, high reserve</t>
  </si>
  <si>
    <t>Low temp, high reserve</t>
  </si>
  <si>
    <t>PLANT_ARTIC</t>
  </si>
  <si>
    <t>Plant artic</t>
  </si>
  <si>
    <t>TREE_CONTINENTAL</t>
  </si>
  <si>
    <t>Tree continental</t>
  </si>
  <si>
    <t>Tree tropical</t>
  </si>
  <si>
    <t>Trunk</t>
  </si>
  <si>
    <t>KC_METABOLIC_RATE</t>
  </si>
  <si>
    <t>DORMANCY_TEMPERATURE_TRIGGER</t>
  </si>
  <si>
    <t>DORMANCY_CATABOLISM_REDUCTION</t>
  </si>
  <si>
    <t>DORMANCY_MONTHS</t>
  </si>
  <si>
    <t>ALLOCATION_DIGESTIVE_ANIMALS</t>
  </si>
  <si>
    <t>EVOTRANSPIRATION_FACTOR</t>
  </si>
  <si>
    <t>X</t>
  </si>
  <si>
    <t>Y</t>
  </si>
  <si>
    <t>segment 1</t>
  </si>
  <si>
    <t>segment 2</t>
  </si>
  <si>
    <t>segment 3</t>
  </si>
  <si>
    <t>segment 4</t>
  </si>
  <si>
    <t>formula_x</t>
  </si>
  <si>
    <t>x_threshold</t>
  </si>
  <si>
    <t>x_value</t>
  </si>
  <si>
    <t>y_value</t>
  </si>
  <si>
    <t>All gen value must be numeric - no empty cells</t>
  </si>
  <si>
    <t>SPECIE_HUE</t>
  </si>
  <si>
    <t>GENUS</t>
  </si>
  <si>
    <t>GENUS_NAME</t>
  </si>
  <si>
    <t>CROP_BUSH</t>
  </si>
  <si>
    <t>Crop bush</t>
  </si>
  <si>
    <t>LEAF_M2_PER_KG</t>
  </si>
  <si>
    <t>Catabolism adult</t>
  </si>
  <si>
    <t>Anabolism adult wanted</t>
  </si>
  <si>
    <t>Per baixar aigua consumida cal baixar KC vigilant que LMFa quedi &gt; 0,01</t>
  </si>
  <si>
    <t>COMBAT_ATTACK_POINTS</t>
  </si>
  <si>
    <t>COMBAT_DEFENSE_POINTS</t>
  </si>
  <si>
    <t>version</t>
  </si>
  <si>
    <t>PRIMARY_TINY_2</t>
  </si>
  <si>
    <t>Primary tiny 2</t>
  </si>
  <si>
    <t>KA_ANABOLISM_FACTOR</t>
  </si>
  <si>
    <t>DEPRECATED_BIOMASS_BIRTH</t>
  </si>
  <si>
    <t>PRIMARY_TINY_3</t>
  </si>
  <si>
    <t>Primary tiny 3</t>
  </si>
  <si>
    <t xml:space="preserve"> </t>
  </si>
  <si>
    <t>T.Level2</t>
  </si>
  <si>
    <t>BIOMASS_LIFE_FACTOR</t>
  </si>
  <si>
    <t>control Q per salvar</t>
  </si>
  <si>
    <t>TREE_MEDITERRANEAN</t>
  </si>
  <si>
    <t>Tree mediterranean</t>
  </si>
  <si>
    <t>HEIGHT_ADULT</t>
  </si>
  <si>
    <t>CLIMATE_ET0_EVOTRANSPIRATION_AVG</t>
  </si>
  <si>
    <t>plant transpiration (anabolism_input maximum)</t>
  </si>
  <si>
    <t>PLANT_BUSH_3</t>
  </si>
  <si>
    <t>add_above_this_line</t>
  </si>
  <si>
    <t>TBD</t>
  </si>
  <si>
    <t>PLANT_BUSH_4</t>
  </si>
  <si>
    <t>PLANT_BUSH_5</t>
  </si>
  <si>
    <t>Bush 5</t>
  </si>
  <si>
    <t>Bush 4</t>
  </si>
  <si>
    <t>Bush 3</t>
  </si>
  <si>
    <t>Bush 2</t>
  </si>
  <si>
    <t>Bush 1</t>
  </si>
  <si>
    <t>GENUS_OBJECT_NAME</t>
  </si>
  <si>
    <t>GENUS_ID</t>
  </si>
  <si>
    <t>obj_tree</t>
  </si>
  <si>
    <t>obj_tree_tropical</t>
  </si>
  <si>
    <t>obj_tree_continental</t>
  </si>
  <si>
    <t>obj_tree_mediterranean</t>
  </si>
  <si>
    <t>obj_plant_desert</t>
  </si>
  <si>
    <t>obj_crop_bush</t>
  </si>
  <si>
    <t>obj_plant_bush</t>
  </si>
  <si>
    <t>obj_plant_bush_2</t>
  </si>
  <si>
    <t>obj_plant_bush_3</t>
  </si>
  <si>
    <t>obj_plant_bush_4</t>
  </si>
  <si>
    <t>obj_plant_bush_5</t>
  </si>
  <si>
    <t>obj_plant_artic</t>
  </si>
  <si>
    <t>obj_primary_small</t>
  </si>
  <si>
    <t>obj_primary_tiny</t>
  </si>
  <si>
    <t>obj_primary_tiny_2</t>
  </si>
  <si>
    <t>obj_primary_tiny_3</t>
  </si>
  <si>
    <t>obj_secondary_small</t>
  </si>
  <si>
    <t>GUARDAR COM EXCEL HABILITADO PARA MACROS</t>
  </si>
  <si>
    <t>_biomass_adult_max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</si>
</sst>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3" fillId="0" borderId="0" xfId="0" applyFont="1"/>
    <xf numFmtId="0" fontId="3" fillId="3" borderId="0" xfId="0" applyFont="1" applyFill="1"/>
    <xf numFmtId="0" fontId="8" fillId="0" borderId="0" xfId="0" applyFont="1"/>
    <xf numFmtId="0" fontId="8" fillId="3" borderId="0" xfId="0" applyFont="1" applyFill="1"/>
    <xf numFmtId="0" fontId="2" fillId="5" borderId="0" xfId="0" applyFont="1" applyFill="1" applyAlignment="1">
      <alignment wrapText="1"/>
    </xf>
    <xf numFmtId="0" fontId="0" fillId="0" borderId="0" xfId="0" applyFill="1"/>
    <xf numFmtId="0" fontId="9" fillId="0" borderId="0" xfId="0" applyFont="1" applyAlignment="1">
      <alignment wrapText="1"/>
    </xf>
    <xf numFmtId="0" fontId="3" fillId="4" borderId="0" xfId="0" applyFont="1" applyFill="1"/>
    <xf numFmtId="0" fontId="3" fillId="0" borderId="0" xfId="0" applyFont="1" applyAlignment="1">
      <alignment wrapText="1"/>
    </xf>
    <xf numFmtId="164" fontId="0" fillId="2" borderId="0" xfId="0" applyNumberFormat="1" applyFill="1"/>
    <xf numFmtId="0" fontId="0" fillId="7" borderId="0" xfId="0" applyFill="1"/>
    <xf numFmtId="22" fontId="0" fillId="0" borderId="0" xfId="0" applyNumberFormat="1"/>
    <xf numFmtId="1" fontId="0" fillId="0" borderId="0" xfId="0" applyNumberFormat="1"/>
    <xf numFmtId="1" fontId="3" fillId="0" borderId="0" xfId="0" applyNumberFormat="1" applyFont="1"/>
    <xf numFmtId="0" fontId="8" fillId="4" borderId="0" xfId="0" applyFont="1" applyFill="1"/>
    <xf numFmtId="0" fontId="8" fillId="2" borderId="0" xfId="0" applyFont="1" applyFill="1"/>
    <xf numFmtId="0" fontId="8" fillId="0" borderId="0" xfId="0" applyFont="1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8" fillId="0" borderId="2" xfId="0" applyFont="1" applyBorder="1"/>
    <xf numFmtId="0" fontId="3" fillId="0" borderId="1" xfId="0" applyFont="1" applyBorder="1"/>
    <xf numFmtId="0" fontId="2" fillId="6" borderId="0" xfId="0" applyFont="1" applyFill="1"/>
    <xf numFmtId="0" fontId="2" fillId="8" borderId="0" xfId="0" applyFont="1" applyFill="1"/>
    <xf numFmtId="0" fontId="2" fillId="9" borderId="0" xfId="0" applyFont="1" applyFill="1"/>
    <xf numFmtId="164" fontId="8" fillId="10" borderId="0" xfId="0" applyNumberFormat="1" applyFont="1" applyFill="1"/>
    <xf numFmtId="165" fontId="3" fillId="0" borderId="0" xfId="0" applyNumberFormat="1" applyFont="1"/>
    <xf numFmtId="0" fontId="11" fillId="0" borderId="0" xfId="0" applyFont="1"/>
    <xf numFmtId="0" fontId="0" fillId="11" borderId="0" xfId="0" applyFill="1"/>
    <xf numFmtId="0" fontId="12" fillId="11" borderId="0" xfId="0" applyFont="1" applyFill="1"/>
    <xf numFmtId="0" fontId="8" fillId="11" borderId="0" xfId="0" applyFont="1" applyFill="1"/>
    <xf numFmtId="0" fontId="3" fillId="11" borderId="0" xfId="0" applyFont="1" applyFill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2" borderId="2" xfId="0" applyFill="1" applyBorder="1"/>
    <xf numFmtId="0" fontId="0" fillId="2" borderId="3" xfId="0" applyFill="1" applyBorder="1"/>
    <xf numFmtId="0" fontId="3" fillId="2" borderId="1" xfId="0" applyFont="1" applyFill="1" applyBorder="1"/>
    <xf numFmtId="0" fontId="8" fillId="2" borderId="2" xfId="0" applyFont="1" applyFill="1" applyBorder="1"/>
    <xf numFmtId="0" fontId="3" fillId="2" borderId="3" xfId="0" applyFont="1" applyFill="1" applyBorder="1"/>
    <xf numFmtId="0" fontId="0" fillId="8" borderId="0" xfId="0" applyFill="1"/>
    <xf numFmtId="0" fontId="0" fillId="8" borderId="0" xfId="0" applyFill="1" applyAlignment="1">
      <alignment wrapText="1"/>
    </xf>
    <xf numFmtId="0" fontId="0" fillId="12" borderId="0" xfId="0" applyFill="1"/>
    <xf numFmtId="0" fontId="0" fillId="12" borderId="1" xfId="0" applyFill="1" applyBorder="1"/>
    <xf numFmtId="0" fontId="0" fillId="12" borderId="2" xfId="0" applyFill="1" applyBorder="1"/>
    <xf numFmtId="0" fontId="0" fillId="12" borderId="3" xfId="0" applyFill="1" applyBorder="1"/>
    <xf numFmtId="0" fontId="10" fillId="5" borderId="0" xfId="0" applyFont="1" applyFill="1" applyAlignment="1">
      <alignment wrapText="1"/>
    </xf>
    <xf numFmtId="165" fontId="0" fillId="13" borderId="0" xfId="0" applyNumberFormat="1" applyFill="1"/>
  </cellXfs>
  <cellStyles count="1"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1E7A51-3F9A-457E-8164-DC9CE54AAD7E}" name="Tabla1" displayName="Tabla1" ref="A4:B25" totalsRowShown="0">
  <autoFilter ref="A4:B25" xr:uid="{32879433-947D-4C16-8A31-1D013AF5B66D}"/>
  <tableColumns count="2">
    <tableColumn id="1" xr3:uid="{E2FE4E06-7EB8-433B-B74E-86E06F282A09}" name="SPECIE"/>
    <tableColumn id="2" xr3:uid="{072F277B-7C10-4EDB-A8B0-995CFC3FA4D8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02F23A-80FE-43FA-B033-8D71C351971B}" name="Tabla3" displayName="Tabla3" ref="A31:B34" totalsRowShown="0">
  <autoFilter ref="A31:B34" xr:uid="{CB8FC755-80F0-493F-B516-320A711A4042}"/>
  <tableColumns count="2">
    <tableColumn id="1" xr3:uid="{871757CF-6856-4588-B8E9-BA23960BCFD7}" name="TROPHIC_LEVEL"/>
    <tableColumn id="2" xr3:uid="{DFAA0427-1F77-4C38-B162-5A7CF722FFF7}" name="Column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6E24-D116-4545-8100-A73B8CF06CFE}">
  <sheetPr codeName="Hoja1"/>
  <dimension ref="A1:R53"/>
  <sheetViews>
    <sheetView tabSelected="1" zoomScaleNormal="100" workbookViewId="0">
      <pane xSplit="1" ySplit="7" topLeftCell="E8" activePane="bottomRight" state="frozen"/>
      <selection pane="topRight" activeCell="B1" sqref="B1"/>
      <selection pane="bottomLeft" activeCell="A8" sqref="A8"/>
      <selection pane="bottomRight" activeCell="R30" sqref="R30"/>
    </sheetView>
  </sheetViews>
  <sheetFormatPr baseColWidth="10" defaultRowHeight="15" x14ac:dyDescent="0.25"/>
  <cols>
    <col min="1" max="1" width="40.42578125" customWidth="1"/>
    <col min="2" max="2" width="15.7109375" bestFit="1" customWidth="1"/>
    <col min="16" max="17" width="11.5703125" customWidth="1"/>
  </cols>
  <sheetData>
    <row r="1" spans="1:18" x14ac:dyDescent="0.25">
      <c r="A1" t="s">
        <v>78</v>
      </c>
      <c r="B1" s="17">
        <f ca="1">NOW()</f>
        <v>44362.321470138886</v>
      </c>
      <c r="D1" s="33" t="s">
        <v>88</v>
      </c>
      <c r="G1" s="6" t="s">
        <v>123</v>
      </c>
      <c r="H1" s="6"/>
      <c r="I1" s="6"/>
      <c r="J1" s="6"/>
    </row>
    <row r="2" spans="1:18" x14ac:dyDescent="0.25">
      <c r="A2" s="6" t="s">
        <v>92</v>
      </c>
      <c r="B2" s="7">
        <v>180</v>
      </c>
      <c r="D2" t="s">
        <v>66</v>
      </c>
    </row>
    <row r="3" spans="1:18" x14ac:dyDescent="0.25">
      <c r="A3" t="s">
        <v>72</v>
      </c>
      <c r="B3" s="1">
        <v>0.1</v>
      </c>
      <c r="D3" s="16" t="s">
        <v>75</v>
      </c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</row>
    <row r="5" spans="1:18" x14ac:dyDescent="0.25">
      <c r="A5" t="s">
        <v>34</v>
      </c>
      <c r="B5" s="28" t="s">
        <v>8</v>
      </c>
      <c r="C5" s="28" t="s">
        <v>8</v>
      </c>
      <c r="D5" s="28" t="s">
        <v>8</v>
      </c>
      <c r="E5" s="28" t="s">
        <v>8</v>
      </c>
      <c r="F5" s="28" t="s">
        <v>8</v>
      </c>
      <c r="G5" s="28" t="s">
        <v>8</v>
      </c>
      <c r="H5" s="28" t="s">
        <v>8</v>
      </c>
      <c r="I5" s="28" t="s">
        <v>8</v>
      </c>
      <c r="J5" s="28" t="s">
        <v>8</v>
      </c>
      <c r="K5" s="28" t="s">
        <v>8</v>
      </c>
      <c r="L5" s="28" t="s">
        <v>8</v>
      </c>
      <c r="M5" s="28" t="s">
        <v>8</v>
      </c>
      <c r="N5" s="29" t="s">
        <v>9</v>
      </c>
      <c r="O5" s="29" t="s">
        <v>9</v>
      </c>
      <c r="P5" s="29" t="s">
        <v>9</v>
      </c>
      <c r="Q5" s="29" t="s">
        <v>9</v>
      </c>
      <c r="R5" s="30" t="s">
        <v>6</v>
      </c>
    </row>
    <row r="6" spans="1:18" x14ac:dyDescent="0.25">
      <c r="A6" s="3" t="s">
        <v>0</v>
      </c>
      <c r="B6" s="4"/>
      <c r="C6" s="4"/>
      <c r="D6" s="4"/>
      <c r="E6" s="4"/>
      <c r="F6" s="4"/>
      <c r="G6" s="20"/>
      <c r="H6" s="4"/>
      <c r="I6" s="4"/>
      <c r="J6" s="4"/>
      <c r="K6" s="4"/>
      <c r="L6" s="4"/>
      <c r="M6" s="4"/>
      <c r="N6" s="4"/>
      <c r="O6" s="4"/>
      <c r="P6" s="4"/>
      <c r="Q6" s="4"/>
      <c r="R6" s="4"/>
    </row>
    <row r="7" spans="1:18" ht="23.25" x14ac:dyDescent="0.25">
      <c r="A7" t="s">
        <v>68</v>
      </c>
      <c r="B7" s="10" t="s">
        <v>11</v>
      </c>
      <c r="C7" s="10" t="s">
        <v>40</v>
      </c>
      <c r="D7" s="10" t="s">
        <v>46</v>
      </c>
      <c r="E7" s="10" t="s">
        <v>89</v>
      </c>
      <c r="F7" s="10" t="s">
        <v>35</v>
      </c>
      <c r="G7" s="52" t="s">
        <v>70</v>
      </c>
      <c r="H7" s="10" t="s">
        <v>12</v>
      </c>
      <c r="I7" s="10" t="s">
        <v>13</v>
      </c>
      <c r="J7" s="10" t="s">
        <v>94</v>
      </c>
      <c r="K7" s="10" t="s">
        <v>97</v>
      </c>
      <c r="L7" s="10" t="s">
        <v>98</v>
      </c>
      <c r="M7" s="10" t="s">
        <v>44</v>
      </c>
      <c r="N7" s="10" t="s">
        <v>15</v>
      </c>
      <c r="O7" s="10" t="s">
        <v>14</v>
      </c>
      <c r="P7" s="10" t="s">
        <v>79</v>
      </c>
      <c r="Q7" s="10" t="s">
        <v>83</v>
      </c>
      <c r="R7" s="10" t="s">
        <v>3</v>
      </c>
    </row>
    <row r="8" spans="1:18" x14ac:dyDescent="0.25">
      <c r="A8" s="46" t="s">
        <v>105</v>
      </c>
      <c r="B8" s="2">
        <f>VLOOKUP(B7,Tabla1[#All],2,FALSE)</f>
        <v>1</v>
      </c>
      <c r="C8" s="2">
        <f>VLOOKUP(C7,Tabla1[#All],2,FALSE)</f>
        <v>2</v>
      </c>
      <c r="D8" s="2">
        <f>VLOOKUP(D7,Tabla1[#All],2,FALSE)</f>
        <v>3</v>
      </c>
      <c r="E8" s="2">
        <f>VLOOKUP(E7,Tabla1[#All],2,FALSE)</f>
        <v>11</v>
      </c>
      <c r="F8" s="2">
        <f>VLOOKUP(F7,Tabla1[#All],2,FALSE)</f>
        <v>9</v>
      </c>
      <c r="G8" s="21">
        <f>VLOOKUP(G7,Tabla1[#All],2,FALSE)</f>
        <v>12</v>
      </c>
      <c r="H8" s="2">
        <f>VLOOKUP(H7,Tabla1[#All],2,FALSE)</f>
        <v>4</v>
      </c>
      <c r="I8" s="2">
        <f>VLOOKUP(I7,Tabla1[#All],2,FALSE)</f>
        <v>5</v>
      </c>
      <c r="J8" s="2">
        <f>VLOOKUP(J7,Tabla1[#All],2,FALSE)</f>
        <v>15</v>
      </c>
      <c r="K8" s="2">
        <f>VLOOKUP(K7,Tabla1[#All],2,FALSE)</f>
        <v>16</v>
      </c>
      <c r="L8" s="2">
        <f>VLOOKUP(L7,Tabla1[#All],2,FALSE)</f>
        <v>17</v>
      </c>
      <c r="M8" s="2">
        <f>VLOOKUP(M7,Tabla1[#All],2,FALSE)</f>
        <v>10</v>
      </c>
      <c r="N8" s="2">
        <f>VLOOKUP(N7,Tabla1[#All],2,FALSE)</f>
        <v>7</v>
      </c>
      <c r="O8" s="2">
        <f>VLOOKUP(O7,Tabla1[#All],2,FALSE)</f>
        <v>6</v>
      </c>
      <c r="P8" s="2">
        <f>VLOOKUP(P7,Tabla1[#All],2,FALSE)</f>
        <v>13</v>
      </c>
      <c r="Q8" s="2">
        <f>VLOOKUP(Q7,Tabla1[#All],2,FALSE)</f>
        <v>14</v>
      </c>
      <c r="R8" s="2">
        <f>VLOOKUP(R7,Tabla1[#All],2,FALSE)</f>
        <v>8</v>
      </c>
    </row>
    <row r="9" spans="1:18" ht="23.25" x14ac:dyDescent="0.25">
      <c r="A9" t="s">
        <v>104</v>
      </c>
      <c r="B9" s="10" t="s">
        <v>106</v>
      </c>
      <c r="C9" s="10" t="s">
        <v>107</v>
      </c>
      <c r="D9" s="10" t="s">
        <v>108</v>
      </c>
      <c r="E9" s="10" t="s">
        <v>109</v>
      </c>
      <c r="F9" s="10" t="s">
        <v>110</v>
      </c>
      <c r="G9" s="52" t="s">
        <v>111</v>
      </c>
      <c r="H9" s="10" t="s">
        <v>112</v>
      </c>
      <c r="I9" s="10" t="s">
        <v>113</v>
      </c>
      <c r="J9" s="10" t="s">
        <v>114</v>
      </c>
      <c r="K9" s="10" t="s">
        <v>115</v>
      </c>
      <c r="L9" s="10" t="s">
        <v>116</v>
      </c>
      <c r="M9" s="10" t="s">
        <v>117</v>
      </c>
      <c r="N9" s="10" t="s">
        <v>118</v>
      </c>
      <c r="O9" s="10" t="s">
        <v>119</v>
      </c>
      <c r="P9" s="10" t="s">
        <v>120</v>
      </c>
      <c r="Q9" s="10" t="s">
        <v>121</v>
      </c>
      <c r="R9" s="10" t="s">
        <v>122</v>
      </c>
    </row>
    <row r="10" spans="1:18" s="5" customFormat="1" ht="45" x14ac:dyDescent="0.25">
      <c r="A10" s="47" t="s">
        <v>69</v>
      </c>
      <c r="B10" s="5" t="s">
        <v>16</v>
      </c>
      <c r="C10" s="5" t="s">
        <v>48</v>
      </c>
      <c r="D10" s="5" t="s">
        <v>47</v>
      </c>
      <c r="E10" s="5" t="s">
        <v>90</v>
      </c>
      <c r="F10" s="5" t="s">
        <v>37</v>
      </c>
      <c r="G10" s="22" t="s">
        <v>71</v>
      </c>
      <c r="H10" s="5" t="s">
        <v>103</v>
      </c>
      <c r="I10" s="5" t="s">
        <v>102</v>
      </c>
      <c r="J10" s="5" t="s">
        <v>101</v>
      </c>
      <c r="K10" s="5" t="s">
        <v>100</v>
      </c>
      <c r="L10" s="5" t="s">
        <v>99</v>
      </c>
      <c r="M10" s="5" t="s">
        <v>45</v>
      </c>
      <c r="N10" s="5" t="s">
        <v>17</v>
      </c>
      <c r="O10" s="5" t="s">
        <v>18</v>
      </c>
      <c r="P10" s="5" t="s">
        <v>80</v>
      </c>
      <c r="Q10" s="5" t="s">
        <v>84</v>
      </c>
      <c r="R10" s="5" t="s">
        <v>19</v>
      </c>
    </row>
    <row r="11" spans="1:18" x14ac:dyDescent="0.25">
      <c r="A11" s="46" t="s">
        <v>7</v>
      </c>
      <c r="B11" s="2">
        <f>VLOOKUP(B5,Tabla3[#All],2,FALSE)</f>
        <v>0</v>
      </c>
      <c r="C11" s="2">
        <f>VLOOKUP(C5,Tabla3[#All],2,FALSE)</f>
        <v>0</v>
      </c>
      <c r="D11" s="2">
        <f>VLOOKUP(D5,Tabla3[#All],2,FALSE)</f>
        <v>0</v>
      </c>
      <c r="E11" s="2">
        <f>VLOOKUP(E5,Tabla3[#All],2,FALSE)</f>
        <v>0</v>
      </c>
      <c r="F11" s="2">
        <f>VLOOKUP(F5,Tabla3[#All],2,FALSE)</f>
        <v>0</v>
      </c>
      <c r="G11" s="21">
        <f>VLOOKUP(G5,Tabla3[#All],2,FALSE)</f>
        <v>0</v>
      </c>
      <c r="H11" s="2">
        <f>VLOOKUP(H5,Tabla3[#All],2,FALSE)</f>
        <v>0</v>
      </c>
      <c r="I11" s="2">
        <f>VLOOKUP(I5,Tabla3[#All],2,FALSE)</f>
        <v>0</v>
      </c>
      <c r="J11" s="2">
        <f>VLOOKUP(J5,Tabla3[#All],2,FALSE)</f>
        <v>0</v>
      </c>
      <c r="K11" s="2">
        <f>VLOOKUP(K5,Tabla3[#All],2,FALSE)</f>
        <v>0</v>
      </c>
      <c r="L11" s="2">
        <f>VLOOKUP(L5,Tabla3[#All],2,FALSE)</f>
        <v>0</v>
      </c>
      <c r="M11" s="2">
        <f>VLOOKUP(M5,Tabla3[#All],2,FALSE)</f>
        <v>0</v>
      </c>
      <c r="N11" s="2">
        <f>VLOOKUP(N5,Tabla3[#All],2,FALSE)</f>
        <v>1</v>
      </c>
      <c r="O11" s="2">
        <f>VLOOKUP(O5,Tabla3[#All],2,FALSE)</f>
        <v>1</v>
      </c>
      <c r="P11" s="2">
        <f>VLOOKUP(P5,Tabla3[#All],2,FALSE)</f>
        <v>1</v>
      </c>
      <c r="Q11" s="2">
        <f>VLOOKUP(Q5,Tabla3[#All],2,FALSE)</f>
        <v>1</v>
      </c>
      <c r="R11" s="2">
        <f>VLOOKUP(R5,Tabla3[#All],2,FALSE)</f>
        <v>2</v>
      </c>
    </row>
    <row r="12" spans="1:18" x14ac:dyDescent="0.25">
      <c r="A12" s="48" t="s">
        <v>25</v>
      </c>
      <c r="B12">
        <v>0</v>
      </c>
      <c r="C12">
        <v>0</v>
      </c>
      <c r="D12">
        <v>0</v>
      </c>
      <c r="E12">
        <v>0</v>
      </c>
      <c r="F12">
        <v>0</v>
      </c>
      <c r="G12" s="8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</row>
    <row r="13" spans="1:18" x14ac:dyDescent="0.25">
      <c r="A13" s="48" t="s">
        <v>20</v>
      </c>
      <c r="B13">
        <v>0</v>
      </c>
      <c r="C13">
        <v>0</v>
      </c>
      <c r="D13">
        <v>0</v>
      </c>
      <c r="E13">
        <v>0</v>
      </c>
      <c r="F13">
        <v>0</v>
      </c>
      <c r="G13" s="8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</row>
    <row r="14" spans="1:18" x14ac:dyDescent="0.25">
      <c r="A14" s="48" t="s">
        <v>67</v>
      </c>
      <c r="B14">
        <v>-1</v>
      </c>
      <c r="C14">
        <v>-1</v>
      </c>
      <c r="D14">
        <v>-1</v>
      </c>
      <c r="E14">
        <v>-1</v>
      </c>
      <c r="F14">
        <v>-1</v>
      </c>
      <c r="G14" s="8">
        <v>-1</v>
      </c>
      <c r="H14">
        <v>-1</v>
      </c>
      <c r="I14">
        <v>-1</v>
      </c>
      <c r="J14">
        <v>-1</v>
      </c>
      <c r="K14">
        <v>-1</v>
      </c>
      <c r="L14">
        <v>-1</v>
      </c>
      <c r="M14">
        <v>-1</v>
      </c>
      <c r="N14">
        <v>-1</v>
      </c>
      <c r="O14">
        <v>-1</v>
      </c>
      <c r="P14">
        <v>-1</v>
      </c>
      <c r="Q14">
        <v>-1</v>
      </c>
      <c r="R14">
        <v>-1</v>
      </c>
    </row>
    <row r="15" spans="1:18" x14ac:dyDescent="0.25">
      <c r="A15" s="49" t="s">
        <v>31</v>
      </c>
      <c r="B15" s="1">
        <v>50</v>
      </c>
      <c r="C15" s="1">
        <v>175</v>
      </c>
      <c r="D15" s="1">
        <v>175</v>
      </c>
      <c r="E15" s="1">
        <v>25</v>
      </c>
      <c r="F15" s="1">
        <v>40</v>
      </c>
      <c r="G15" s="9">
        <v>350</v>
      </c>
      <c r="H15" s="1">
        <v>10</v>
      </c>
      <c r="I15" s="1">
        <v>10</v>
      </c>
      <c r="J15" s="1">
        <v>10</v>
      </c>
      <c r="K15" s="1">
        <v>10</v>
      </c>
      <c r="L15" s="1">
        <v>10</v>
      </c>
      <c r="M15" s="1">
        <v>5</v>
      </c>
      <c r="N15">
        <v>5</v>
      </c>
      <c r="O15">
        <v>5</v>
      </c>
      <c r="P15">
        <v>5</v>
      </c>
      <c r="Q15">
        <v>5</v>
      </c>
      <c r="R15">
        <v>40</v>
      </c>
    </row>
    <row r="16" spans="1:18" x14ac:dyDescent="0.25">
      <c r="A16" s="50" t="s">
        <v>32</v>
      </c>
      <c r="B16" s="1">
        <v>1</v>
      </c>
      <c r="C16" s="1">
        <v>1.3</v>
      </c>
      <c r="D16" s="1">
        <v>1</v>
      </c>
      <c r="E16" s="1">
        <v>1</v>
      </c>
      <c r="F16" s="1">
        <v>1</v>
      </c>
      <c r="G16" s="9">
        <v>1</v>
      </c>
      <c r="H16" s="1">
        <v>1</v>
      </c>
      <c r="I16" s="1">
        <v>1</v>
      </c>
      <c r="J16" s="1">
        <v>1</v>
      </c>
      <c r="K16" s="1">
        <v>1</v>
      </c>
      <c r="L16" s="1">
        <v>1</v>
      </c>
      <c r="M16" s="1">
        <v>1</v>
      </c>
      <c r="N16">
        <v>1</v>
      </c>
      <c r="O16">
        <v>1</v>
      </c>
      <c r="P16">
        <v>1</v>
      </c>
      <c r="Q16">
        <v>1</v>
      </c>
      <c r="R16">
        <v>1</v>
      </c>
    </row>
    <row r="17" spans="1:18" x14ac:dyDescent="0.25">
      <c r="A17" s="50" t="s">
        <v>29</v>
      </c>
      <c r="B17" s="1">
        <v>1000</v>
      </c>
      <c r="C17" s="1">
        <v>0</v>
      </c>
      <c r="D17" s="1">
        <v>0</v>
      </c>
      <c r="E17" s="1">
        <v>800</v>
      </c>
      <c r="F17" s="1">
        <v>0</v>
      </c>
      <c r="G17" s="9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>
        <v>0</v>
      </c>
      <c r="O17">
        <v>0</v>
      </c>
      <c r="P17">
        <v>0</v>
      </c>
      <c r="Q17">
        <v>0</v>
      </c>
      <c r="R17">
        <v>0</v>
      </c>
    </row>
    <row r="18" spans="1:18" x14ac:dyDescent="0.25">
      <c r="A18" s="51" t="s">
        <v>30</v>
      </c>
      <c r="B18" s="1">
        <v>1.2</v>
      </c>
      <c r="C18" s="1">
        <v>0</v>
      </c>
      <c r="D18" s="1">
        <v>0</v>
      </c>
      <c r="E18" s="1">
        <v>1.2</v>
      </c>
      <c r="F18" s="1">
        <v>0</v>
      </c>
      <c r="G18" s="9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>
        <v>0</v>
      </c>
      <c r="O18">
        <v>0</v>
      </c>
      <c r="P18">
        <v>0</v>
      </c>
      <c r="Q18">
        <v>0</v>
      </c>
      <c r="R18">
        <v>0</v>
      </c>
    </row>
    <row r="19" spans="1:18" x14ac:dyDescent="0.25">
      <c r="A19" t="s">
        <v>21</v>
      </c>
      <c r="B19">
        <v>12</v>
      </c>
      <c r="C19">
        <v>10</v>
      </c>
      <c r="D19">
        <v>10</v>
      </c>
      <c r="E19">
        <v>10</v>
      </c>
      <c r="F19">
        <v>15</v>
      </c>
      <c r="G19" s="8">
        <v>3</v>
      </c>
      <c r="H19">
        <v>3</v>
      </c>
      <c r="I19">
        <v>3</v>
      </c>
      <c r="J19">
        <v>3</v>
      </c>
      <c r="K19">
        <v>3</v>
      </c>
      <c r="L19">
        <v>3</v>
      </c>
      <c r="M19">
        <v>3</v>
      </c>
      <c r="N19">
        <v>4</v>
      </c>
      <c r="O19">
        <v>3</v>
      </c>
      <c r="P19">
        <v>8</v>
      </c>
      <c r="Q19">
        <v>7</v>
      </c>
      <c r="R19">
        <v>7</v>
      </c>
    </row>
    <row r="20" spans="1:18" x14ac:dyDescent="0.25">
      <c r="A20" s="23" t="s">
        <v>22</v>
      </c>
      <c r="B20">
        <v>1</v>
      </c>
      <c r="C20">
        <v>1</v>
      </c>
      <c r="D20">
        <v>1</v>
      </c>
      <c r="E20">
        <v>1</v>
      </c>
      <c r="F20">
        <v>1</v>
      </c>
      <c r="G20" s="8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0.3</v>
      </c>
      <c r="O20">
        <v>0.3</v>
      </c>
      <c r="P20">
        <v>0.3</v>
      </c>
      <c r="Q20">
        <v>0.3</v>
      </c>
      <c r="R20">
        <v>1</v>
      </c>
    </row>
    <row r="21" spans="1:18" x14ac:dyDescent="0.25">
      <c r="A21" s="24" t="s">
        <v>23</v>
      </c>
      <c r="B21">
        <v>64</v>
      </c>
      <c r="C21">
        <v>100</v>
      </c>
      <c r="D21">
        <v>128</v>
      </c>
      <c r="E21">
        <v>180</v>
      </c>
      <c r="F21">
        <v>64</v>
      </c>
      <c r="G21" s="8">
        <v>110</v>
      </c>
      <c r="H21">
        <v>30</v>
      </c>
      <c r="I21">
        <v>40</v>
      </c>
      <c r="J21">
        <v>50</v>
      </c>
      <c r="K21">
        <v>60</v>
      </c>
      <c r="L21">
        <v>128</v>
      </c>
      <c r="M21">
        <v>64</v>
      </c>
      <c r="N21">
        <v>1</v>
      </c>
      <c r="O21">
        <v>32</v>
      </c>
      <c r="P21">
        <v>32</v>
      </c>
      <c r="Q21">
        <v>48</v>
      </c>
      <c r="R21">
        <v>1</v>
      </c>
    </row>
    <row r="22" spans="1:18" x14ac:dyDescent="0.25">
      <c r="A22" s="25" t="s">
        <v>39</v>
      </c>
      <c r="B22">
        <v>1</v>
      </c>
      <c r="C22">
        <v>1</v>
      </c>
      <c r="D22">
        <v>1</v>
      </c>
      <c r="E22">
        <v>2</v>
      </c>
      <c r="F22">
        <v>1</v>
      </c>
      <c r="G22" s="8">
        <v>4</v>
      </c>
      <c r="H22">
        <v>2</v>
      </c>
      <c r="I22">
        <v>1</v>
      </c>
      <c r="J22">
        <v>1</v>
      </c>
      <c r="K22">
        <v>1</v>
      </c>
      <c r="L22">
        <v>1</v>
      </c>
      <c r="M22">
        <v>4</v>
      </c>
      <c r="N22">
        <v>2</v>
      </c>
      <c r="O22">
        <v>3</v>
      </c>
      <c r="P22" s="6">
        <v>5</v>
      </c>
      <c r="Q22">
        <v>2</v>
      </c>
      <c r="R22">
        <v>1</v>
      </c>
    </row>
    <row r="23" spans="1:18" x14ac:dyDescent="0.25">
      <c r="A23" s="23" t="s">
        <v>76</v>
      </c>
      <c r="B23">
        <v>0</v>
      </c>
      <c r="C23">
        <v>0</v>
      </c>
      <c r="D23">
        <v>0</v>
      </c>
      <c r="E23">
        <v>0</v>
      </c>
      <c r="F23">
        <v>0</v>
      </c>
      <c r="G23" s="8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2</v>
      </c>
      <c r="O23">
        <v>2</v>
      </c>
      <c r="P23">
        <v>2</v>
      </c>
      <c r="Q23">
        <v>2</v>
      </c>
      <c r="R23">
        <v>3</v>
      </c>
    </row>
    <row r="24" spans="1:18" x14ac:dyDescent="0.25">
      <c r="A24" s="25" t="s">
        <v>77</v>
      </c>
      <c r="B24">
        <v>3</v>
      </c>
      <c r="C24">
        <v>3</v>
      </c>
      <c r="D24">
        <v>3</v>
      </c>
      <c r="E24">
        <v>3</v>
      </c>
      <c r="F24">
        <v>1</v>
      </c>
      <c r="G24" s="8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2</v>
      </c>
      <c r="O24">
        <v>2</v>
      </c>
      <c r="P24">
        <v>2</v>
      </c>
      <c r="Q24">
        <v>2</v>
      </c>
      <c r="R24">
        <v>3</v>
      </c>
    </row>
    <row r="25" spans="1:18" x14ac:dyDescent="0.25">
      <c r="A25" s="25" t="s">
        <v>26</v>
      </c>
      <c r="B25">
        <v>400</v>
      </c>
      <c r="C25">
        <v>250</v>
      </c>
      <c r="D25">
        <v>200</v>
      </c>
      <c r="E25">
        <v>300</v>
      </c>
      <c r="F25">
        <v>8</v>
      </c>
      <c r="G25" s="8">
        <v>500</v>
      </c>
      <c r="H25">
        <v>6</v>
      </c>
      <c r="I25">
        <v>10</v>
      </c>
      <c r="J25">
        <v>10</v>
      </c>
      <c r="K25">
        <v>10</v>
      </c>
      <c r="L25">
        <v>10</v>
      </c>
      <c r="M25">
        <v>10</v>
      </c>
      <c r="N25">
        <v>10</v>
      </c>
      <c r="O25">
        <v>5</v>
      </c>
      <c r="P25">
        <v>5</v>
      </c>
      <c r="Q25">
        <v>6</v>
      </c>
      <c r="R25">
        <v>50</v>
      </c>
    </row>
    <row r="26" spans="1:18" x14ac:dyDescent="0.25">
      <c r="A26" s="8" t="s">
        <v>91</v>
      </c>
      <c r="B26" s="8">
        <v>8</v>
      </c>
      <c r="C26" s="8">
        <v>20</v>
      </c>
      <c r="D26" s="8">
        <v>15</v>
      </c>
      <c r="E26" s="8">
        <v>10</v>
      </c>
      <c r="F26" s="8">
        <v>2</v>
      </c>
      <c r="G26" s="8">
        <v>2</v>
      </c>
      <c r="H26" s="8">
        <v>2</v>
      </c>
      <c r="I26" s="8">
        <v>2</v>
      </c>
      <c r="J26" s="8">
        <v>2</v>
      </c>
      <c r="K26" s="8">
        <v>2</v>
      </c>
      <c r="L26" s="8">
        <v>2</v>
      </c>
      <c r="M26" s="8">
        <v>2</v>
      </c>
      <c r="N26" s="8">
        <v>2</v>
      </c>
      <c r="O26" s="8">
        <v>2</v>
      </c>
      <c r="P26" s="8">
        <v>2</v>
      </c>
      <c r="Q26" s="8">
        <v>2</v>
      </c>
      <c r="R26" s="8">
        <v>2</v>
      </c>
    </row>
    <row r="27" spans="1:18" x14ac:dyDescent="0.25">
      <c r="A27" s="23" t="s">
        <v>54</v>
      </c>
      <c r="B27">
        <v>0</v>
      </c>
      <c r="C27">
        <v>0</v>
      </c>
      <c r="D27">
        <v>0</v>
      </c>
      <c r="E27">
        <v>0</v>
      </c>
      <c r="F27">
        <v>0</v>
      </c>
      <c r="G27" s="8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0.2</v>
      </c>
      <c r="O27">
        <v>0.2</v>
      </c>
      <c r="P27">
        <v>0.4</v>
      </c>
      <c r="Q27">
        <v>0.3</v>
      </c>
      <c r="R27">
        <v>0.1</v>
      </c>
    </row>
    <row r="28" spans="1:18" x14ac:dyDescent="0.25">
      <c r="A28" s="26" t="s">
        <v>24</v>
      </c>
      <c r="B28">
        <v>0.1</v>
      </c>
      <c r="C28">
        <v>0.1</v>
      </c>
      <c r="D28">
        <v>7.0000000000000007E-2</v>
      </c>
      <c r="E28">
        <v>0.03</v>
      </c>
      <c r="F28">
        <v>0.2</v>
      </c>
      <c r="G28" s="8">
        <v>0.1</v>
      </c>
      <c r="H28">
        <v>0.1</v>
      </c>
      <c r="I28">
        <v>0.1</v>
      </c>
      <c r="J28">
        <v>0.1</v>
      </c>
      <c r="K28">
        <v>0.1</v>
      </c>
      <c r="L28">
        <v>0.1</v>
      </c>
      <c r="M28">
        <v>0.1</v>
      </c>
      <c r="N28">
        <v>0.2</v>
      </c>
      <c r="O28">
        <v>0.2</v>
      </c>
      <c r="P28">
        <v>0.3</v>
      </c>
      <c r="Q28">
        <v>0.3</v>
      </c>
      <c r="R28">
        <v>0.3</v>
      </c>
    </row>
    <row r="29" spans="1:18" x14ac:dyDescent="0.25">
      <c r="A29" s="24" t="s">
        <v>87</v>
      </c>
      <c r="B29">
        <v>0.6</v>
      </c>
      <c r="C29">
        <v>0.5</v>
      </c>
      <c r="D29">
        <v>0.5</v>
      </c>
      <c r="E29">
        <v>0.5</v>
      </c>
      <c r="F29">
        <v>0.6</v>
      </c>
      <c r="G29">
        <v>0.6</v>
      </c>
      <c r="H29">
        <v>0.7</v>
      </c>
      <c r="I29">
        <v>0.7</v>
      </c>
      <c r="J29">
        <v>0.7</v>
      </c>
      <c r="K29">
        <v>0.7</v>
      </c>
      <c r="L29">
        <v>0.7</v>
      </c>
      <c r="M29">
        <v>0.6</v>
      </c>
      <c r="N29">
        <v>0.6</v>
      </c>
      <c r="O29">
        <v>0.8</v>
      </c>
      <c r="P29">
        <v>0.5</v>
      </c>
      <c r="Q29">
        <v>0.5</v>
      </c>
      <c r="R29">
        <v>0.8</v>
      </c>
    </row>
    <row r="30" spans="1:18" x14ac:dyDescent="0.25">
      <c r="A30" s="38" t="s">
        <v>55</v>
      </c>
      <c r="B30" s="34">
        <v>0.5</v>
      </c>
      <c r="C30" s="34">
        <v>1</v>
      </c>
      <c r="D30" s="34">
        <v>1</v>
      </c>
      <c r="E30" s="34">
        <v>1</v>
      </c>
      <c r="F30" s="34">
        <v>0.5</v>
      </c>
      <c r="G30" s="34">
        <v>1</v>
      </c>
      <c r="H30" s="34">
        <v>1.2</v>
      </c>
      <c r="I30" s="34">
        <v>1.5</v>
      </c>
      <c r="J30" s="34">
        <v>1.3</v>
      </c>
      <c r="K30" s="34">
        <v>1.3</v>
      </c>
      <c r="L30" s="34">
        <v>1.2</v>
      </c>
      <c r="M30" s="34">
        <v>1.5</v>
      </c>
      <c r="N30">
        <v>0</v>
      </c>
      <c r="O30">
        <v>0</v>
      </c>
      <c r="P30">
        <v>0</v>
      </c>
      <c r="Q30">
        <v>0</v>
      </c>
      <c r="R30">
        <v>0</v>
      </c>
    </row>
    <row r="31" spans="1:18" x14ac:dyDescent="0.25">
      <c r="A31" s="39" t="s">
        <v>81</v>
      </c>
      <c r="B31" s="34">
        <v>0.8</v>
      </c>
      <c r="C31" s="34">
        <v>0.9</v>
      </c>
      <c r="D31" s="34">
        <v>0.7</v>
      </c>
      <c r="E31" s="34">
        <v>0.4</v>
      </c>
      <c r="F31" s="35">
        <v>0.5</v>
      </c>
      <c r="G31" s="36">
        <v>0.15</v>
      </c>
      <c r="H31" s="34">
        <v>0.4</v>
      </c>
      <c r="I31" s="34">
        <v>0.04</v>
      </c>
      <c r="J31" s="34">
        <v>0.04</v>
      </c>
      <c r="K31" s="34">
        <v>0.04</v>
      </c>
      <c r="L31" s="34">
        <v>0.04</v>
      </c>
      <c r="M31" s="34">
        <v>0.04</v>
      </c>
      <c r="N31" s="37">
        <v>0.3</v>
      </c>
      <c r="O31" s="34">
        <v>0.4</v>
      </c>
      <c r="P31" s="34">
        <v>0.2</v>
      </c>
      <c r="Q31" s="34">
        <v>0.3</v>
      </c>
      <c r="R31" s="34">
        <v>0.3</v>
      </c>
    </row>
    <row r="32" spans="1:18" x14ac:dyDescent="0.25">
      <c r="A32" s="40" t="s">
        <v>50</v>
      </c>
      <c r="B32" s="34">
        <v>0.4</v>
      </c>
      <c r="C32" s="34">
        <v>0.7</v>
      </c>
      <c r="D32" s="34">
        <v>0.5</v>
      </c>
      <c r="E32" s="34">
        <v>0.2</v>
      </c>
      <c r="F32" s="35">
        <v>0.5</v>
      </c>
      <c r="G32" s="36">
        <v>0.1</v>
      </c>
      <c r="H32" s="35">
        <v>0.3</v>
      </c>
      <c r="I32" s="34">
        <v>0.4</v>
      </c>
      <c r="J32" s="34">
        <v>0.5</v>
      </c>
      <c r="K32" s="34">
        <v>0.6</v>
      </c>
      <c r="L32" s="34">
        <v>0.5</v>
      </c>
      <c r="M32" s="34">
        <v>0.4</v>
      </c>
      <c r="N32" s="37">
        <v>0.05</v>
      </c>
      <c r="O32" s="34">
        <v>0.04</v>
      </c>
      <c r="P32" s="34">
        <v>0.05</v>
      </c>
      <c r="Q32" s="34">
        <v>0.06</v>
      </c>
      <c r="R32" s="34">
        <v>0.02</v>
      </c>
    </row>
    <row r="33" spans="1:18" x14ac:dyDescent="0.25">
      <c r="A33" s="41" t="s">
        <v>27</v>
      </c>
      <c r="B33" s="1">
        <v>20</v>
      </c>
      <c r="C33" s="1">
        <v>24</v>
      </c>
      <c r="D33" s="1">
        <v>20</v>
      </c>
      <c r="E33" s="1">
        <v>27</v>
      </c>
      <c r="F33" s="1">
        <v>20</v>
      </c>
      <c r="G33" s="9">
        <v>20</v>
      </c>
      <c r="H33" s="1">
        <v>25</v>
      </c>
      <c r="I33" s="1">
        <v>20</v>
      </c>
      <c r="J33" s="1">
        <v>20</v>
      </c>
      <c r="K33" s="1">
        <v>20</v>
      </c>
      <c r="L33" s="1">
        <v>20</v>
      </c>
      <c r="M33" s="1">
        <v>-10</v>
      </c>
      <c r="N33" s="7">
        <v>0</v>
      </c>
      <c r="O33" s="7">
        <v>15</v>
      </c>
      <c r="P33" s="7">
        <v>15</v>
      </c>
      <c r="Q33" s="7">
        <v>15</v>
      </c>
      <c r="R33" s="7">
        <v>0</v>
      </c>
    </row>
    <row r="34" spans="1:18" x14ac:dyDescent="0.25">
      <c r="A34" s="42" t="s">
        <v>38</v>
      </c>
      <c r="B34" s="1">
        <v>8</v>
      </c>
      <c r="C34" s="1">
        <v>3</v>
      </c>
      <c r="D34" s="9">
        <v>5</v>
      </c>
      <c r="E34" s="1">
        <v>5</v>
      </c>
      <c r="F34" s="1">
        <v>10</v>
      </c>
      <c r="G34" s="9">
        <v>10</v>
      </c>
      <c r="H34" s="1">
        <v>8</v>
      </c>
      <c r="I34" s="1">
        <v>5</v>
      </c>
      <c r="J34" s="1">
        <v>5</v>
      </c>
      <c r="K34" s="1">
        <v>5</v>
      </c>
      <c r="L34" s="1">
        <v>5</v>
      </c>
      <c r="M34" s="1">
        <v>20</v>
      </c>
      <c r="N34" s="7">
        <v>50</v>
      </c>
      <c r="O34" s="7">
        <v>15</v>
      </c>
      <c r="P34" s="7">
        <v>15</v>
      </c>
      <c r="Q34" s="7">
        <v>14</v>
      </c>
      <c r="R34" s="7">
        <v>50</v>
      </c>
    </row>
    <row r="35" spans="1:18" x14ac:dyDescent="0.25">
      <c r="A35" s="43" t="s">
        <v>51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9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</row>
    <row r="36" spans="1:18" x14ac:dyDescent="0.25">
      <c r="A36" s="44" t="s">
        <v>52</v>
      </c>
      <c r="B36" s="9">
        <v>0.9</v>
      </c>
      <c r="C36" s="9">
        <v>0.9</v>
      </c>
      <c r="D36" s="9">
        <v>0.7</v>
      </c>
      <c r="E36" s="9">
        <v>0.7</v>
      </c>
      <c r="F36" s="9">
        <v>0.1</v>
      </c>
      <c r="G36" s="9">
        <v>0.7</v>
      </c>
      <c r="H36" s="9">
        <v>0.7</v>
      </c>
      <c r="I36" s="9">
        <v>0.7</v>
      </c>
      <c r="J36" s="9">
        <v>0.7</v>
      </c>
      <c r="K36" s="9">
        <v>0.7</v>
      </c>
      <c r="L36" s="9">
        <v>0.7</v>
      </c>
      <c r="M36" s="9">
        <v>0.9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</row>
    <row r="37" spans="1:18" x14ac:dyDescent="0.25">
      <c r="A37" s="45" t="s">
        <v>53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9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</row>
    <row r="38" spans="1:18" x14ac:dyDescent="0.25">
      <c r="A38" s="6" t="s">
        <v>33</v>
      </c>
      <c r="B38">
        <v>0</v>
      </c>
      <c r="C38">
        <v>0</v>
      </c>
      <c r="D38">
        <v>0</v>
      </c>
      <c r="E38">
        <v>0</v>
      </c>
      <c r="F38">
        <v>0</v>
      </c>
      <c r="G38" s="8">
        <v>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</row>
    <row r="39" spans="1:18" x14ac:dyDescent="0.25">
      <c r="A39" s="27" t="s">
        <v>82</v>
      </c>
      <c r="B39" s="6">
        <v>3</v>
      </c>
      <c r="C39" s="6">
        <v>5</v>
      </c>
      <c r="D39" s="6">
        <v>5</v>
      </c>
      <c r="E39" s="6">
        <v>5</v>
      </c>
      <c r="F39" s="6">
        <v>4</v>
      </c>
      <c r="G39" s="6">
        <v>200</v>
      </c>
      <c r="H39" s="6">
        <v>4</v>
      </c>
      <c r="I39" s="6">
        <v>4</v>
      </c>
      <c r="J39" s="6">
        <v>4</v>
      </c>
      <c r="K39" s="6">
        <v>4</v>
      </c>
      <c r="L39" s="6">
        <v>4</v>
      </c>
      <c r="M39" s="6">
        <v>0.2</v>
      </c>
      <c r="N39" s="6">
        <v>2</v>
      </c>
      <c r="O39" s="6">
        <v>0.5</v>
      </c>
      <c r="P39" s="6">
        <v>0.2</v>
      </c>
      <c r="Q39" s="6">
        <v>0.2</v>
      </c>
      <c r="R39" s="6">
        <v>5</v>
      </c>
    </row>
    <row r="40" spans="1:18" x14ac:dyDescent="0.25">
      <c r="A40" s="6"/>
    </row>
    <row r="41" spans="1:18" x14ac:dyDescent="0.25">
      <c r="A41" s="6"/>
      <c r="G41" s="6"/>
    </row>
    <row r="42" spans="1:18" x14ac:dyDescent="0.25">
      <c r="A42" s="6"/>
      <c r="G42" s="6"/>
    </row>
    <row r="43" spans="1:18" x14ac:dyDescent="0.25">
      <c r="A43" s="3" t="s">
        <v>1</v>
      </c>
      <c r="B43" s="4"/>
      <c r="C43" s="4"/>
      <c r="D43" s="4"/>
      <c r="E43" s="4"/>
      <c r="F43" s="4"/>
      <c r="G43" s="13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s="5" customFormat="1" ht="45" x14ac:dyDescent="0.25">
      <c r="A44" s="5" t="s">
        <v>41</v>
      </c>
      <c r="E44" s="14" t="s">
        <v>49</v>
      </c>
      <c r="F44" s="14" t="s">
        <v>42</v>
      </c>
      <c r="G44" s="14"/>
      <c r="H44" s="14"/>
      <c r="I44" s="14"/>
      <c r="J44" s="14"/>
      <c r="K44" s="14"/>
      <c r="L44" s="14"/>
      <c r="M44" s="14" t="s">
        <v>43</v>
      </c>
    </row>
    <row r="45" spans="1:18" x14ac:dyDescent="0.25">
      <c r="G45" s="6"/>
    </row>
    <row r="46" spans="1:18" x14ac:dyDescent="0.25">
      <c r="A46" t="s">
        <v>86</v>
      </c>
      <c r="B46" s="28" t="str">
        <f t="shared" ref="B46:R46" si="0">+B5</f>
        <v>PRODUCER</v>
      </c>
      <c r="C46" s="28" t="str">
        <f t="shared" si="0"/>
        <v>PRODUCER</v>
      </c>
      <c r="D46" s="28" t="str">
        <f t="shared" si="0"/>
        <v>PRODUCER</v>
      </c>
      <c r="E46" s="28" t="str">
        <f t="shared" si="0"/>
        <v>PRODUCER</v>
      </c>
      <c r="F46" s="28" t="str">
        <f t="shared" si="0"/>
        <v>PRODUCER</v>
      </c>
      <c r="G46" s="28" t="str">
        <f t="shared" si="0"/>
        <v>PRODUCER</v>
      </c>
      <c r="H46" s="28" t="str">
        <f t="shared" si="0"/>
        <v>PRODUCER</v>
      </c>
      <c r="I46" s="28" t="str">
        <f t="shared" si="0"/>
        <v>PRODUCER</v>
      </c>
      <c r="J46" s="28" t="str">
        <f t="shared" si="0"/>
        <v>PRODUCER</v>
      </c>
      <c r="K46" s="28" t="str">
        <f t="shared" si="0"/>
        <v>PRODUCER</v>
      </c>
      <c r="L46" s="28" t="str">
        <f t="shared" si="0"/>
        <v>PRODUCER</v>
      </c>
      <c r="M46" s="28" t="str">
        <f t="shared" si="0"/>
        <v>PRODUCER</v>
      </c>
      <c r="N46" s="29" t="str">
        <f t="shared" si="0"/>
        <v>PRIMARY</v>
      </c>
      <c r="O46" s="29" t="str">
        <f t="shared" si="0"/>
        <v>PRIMARY</v>
      </c>
      <c r="P46" s="29" t="str">
        <f t="shared" si="0"/>
        <v>PRIMARY</v>
      </c>
      <c r="Q46" s="29" t="str">
        <f t="shared" si="0"/>
        <v>PRIMARY</v>
      </c>
      <c r="R46" s="30" t="str">
        <f t="shared" si="0"/>
        <v>SECONDARY</v>
      </c>
    </row>
    <row r="47" spans="1:18" x14ac:dyDescent="0.25">
      <c r="A47" t="s">
        <v>36</v>
      </c>
      <c r="B47" s="15">
        <f t="shared" ref="B47" si="1">+B32/B31/$B$2/$B$3</f>
        <v>2.7777777777777776E-2</v>
      </c>
      <c r="C47" s="15">
        <f>+C32/C31/$B$2/$B$3</f>
        <v>4.3209876543209867E-2</v>
      </c>
      <c r="D47" s="15">
        <f t="shared" ref="D47:M47" si="2">+D32/D31/$B$2/$B$3</f>
        <v>3.968253968253968E-2</v>
      </c>
      <c r="E47" s="15">
        <f t="shared" si="2"/>
        <v>2.7777777777777776E-2</v>
      </c>
      <c r="F47" s="15">
        <f t="shared" si="2"/>
        <v>5.5555555555555552E-2</v>
      </c>
      <c r="G47" s="15">
        <f t="shared" si="2"/>
        <v>3.7037037037037042E-2</v>
      </c>
      <c r="H47" s="15">
        <f>+H32/H31/$B$2/$B$3</f>
        <v>4.1666666666666657E-2</v>
      </c>
      <c r="I47" s="15">
        <f t="shared" ref="I47:K47" si="3">+I32/I31/$B$2/$B$3</f>
        <v>0.55555555555555547</v>
      </c>
      <c r="J47" s="15">
        <f t="shared" si="3"/>
        <v>0.69444444444444442</v>
      </c>
      <c r="K47" s="15">
        <f t="shared" si="3"/>
        <v>0.83333333333333326</v>
      </c>
      <c r="L47" s="15">
        <f t="shared" si="2"/>
        <v>0.69444444444444442</v>
      </c>
      <c r="M47" s="15">
        <f t="shared" si="2"/>
        <v>0.55555555555555547</v>
      </c>
      <c r="N47" s="31">
        <f>+N27</f>
        <v>0.2</v>
      </c>
      <c r="O47" s="31">
        <f>+O27</f>
        <v>0.2</v>
      </c>
      <c r="P47" s="31">
        <f>+P27</f>
        <v>0.4</v>
      </c>
      <c r="Q47" s="31">
        <f>+Q27</f>
        <v>0.3</v>
      </c>
      <c r="R47" s="31">
        <f>+R27</f>
        <v>0.1</v>
      </c>
    </row>
    <row r="48" spans="1:18" x14ac:dyDescent="0.25">
      <c r="G48" s="6"/>
    </row>
    <row r="49" spans="1:18" x14ac:dyDescent="0.25">
      <c r="A49" t="s">
        <v>93</v>
      </c>
      <c r="B49" s="18">
        <f>+B47*B25*$B$3*$B$2*B30</f>
        <v>100</v>
      </c>
      <c r="C49" s="18">
        <f t="shared" ref="C49:M49" si="4">+C47*C25*$B$3*$B$2*C30</f>
        <v>194.4444444444444</v>
      </c>
      <c r="D49" s="18">
        <f t="shared" si="4"/>
        <v>142.85714285714286</v>
      </c>
      <c r="E49" s="18">
        <f t="shared" si="4"/>
        <v>150</v>
      </c>
      <c r="F49" s="18">
        <f t="shared" si="4"/>
        <v>4</v>
      </c>
      <c r="G49" s="18">
        <f t="shared" si="4"/>
        <v>333.33333333333343</v>
      </c>
      <c r="H49" s="18">
        <f>+H47*H25*$B$3*$B$2*H30</f>
        <v>5.3999999999999986</v>
      </c>
      <c r="I49" s="18">
        <f t="shared" ref="I49:K49" si="5">+I47*I25*$B$3*$B$2*I30</f>
        <v>149.99999999999997</v>
      </c>
      <c r="J49" s="18">
        <f t="shared" si="5"/>
        <v>162.50000000000003</v>
      </c>
      <c r="K49" s="18">
        <f t="shared" si="5"/>
        <v>195</v>
      </c>
      <c r="L49" s="18">
        <f t="shared" si="4"/>
        <v>150</v>
      </c>
      <c r="M49" s="18">
        <f t="shared" si="4"/>
        <v>149.99999999999997</v>
      </c>
      <c r="N49" s="53">
        <f>+N47*N25</f>
        <v>2</v>
      </c>
      <c r="O49" s="53">
        <f>+O47*O25</f>
        <v>1</v>
      </c>
      <c r="P49" s="53">
        <f>+P47*P25</f>
        <v>2</v>
      </c>
      <c r="Q49" s="53">
        <f>+Q47*Q25</f>
        <v>1.7999999999999998</v>
      </c>
      <c r="R49" s="53">
        <f>+R47*R25</f>
        <v>5</v>
      </c>
    </row>
    <row r="50" spans="1:18" x14ac:dyDescent="0.25">
      <c r="A50" t="s">
        <v>74</v>
      </c>
      <c r="B50" s="19">
        <f>+B31*B47*$B$3*B30*B25*$B$2</f>
        <v>80</v>
      </c>
      <c r="C50" s="19">
        <f t="shared" ref="C50:M50" si="6">+C31*C47*$B$3*C30*C25*$B$2</f>
        <v>174.99999999999997</v>
      </c>
      <c r="D50" s="19">
        <f t="shared" si="6"/>
        <v>99.999999999999986</v>
      </c>
      <c r="E50" s="19">
        <f t="shared" si="6"/>
        <v>60</v>
      </c>
      <c r="F50" s="19">
        <f t="shared" si="6"/>
        <v>2</v>
      </c>
      <c r="G50" s="19">
        <f t="shared" si="6"/>
        <v>50</v>
      </c>
      <c r="H50" s="19">
        <f>+H31*H47*$B$3*H30*H25*$B$2</f>
        <v>2.1599999999999993</v>
      </c>
      <c r="I50" s="19">
        <f t="shared" ref="I50:K50" si="7">+I31*I47*$B$3*I30*I25*$B$2</f>
        <v>6</v>
      </c>
      <c r="J50" s="19">
        <f t="shared" si="7"/>
        <v>6.5000000000000009</v>
      </c>
      <c r="K50" s="19">
        <f t="shared" si="7"/>
        <v>7.8000000000000016</v>
      </c>
      <c r="L50" s="19">
        <f t="shared" si="6"/>
        <v>6</v>
      </c>
      <c r="M50" s="19">
        <f t="shared" si="6"/>
        <v>6</v>
      </c>
      <c r="N50" s="32">
        <f>+N49*N31</f>
        <v>0.6</v>
      </c>
      <c r="O50" s="32">
        <f>+O49*O31</f>
        <v>0.4</v>
      </c>
      <c r="P50" s="32">
        <f>+P49*P31</f>
        <v>0.4</v>
      </c>
      <c r="Q50" s="32">
        <f>+Q49*Q31</f>
        <v>0.53999999999999992</v>
      </c>
      <c r="R50" s="32">
        <f>+R49*R31</f>
        <v>1.5</v>
      </c>
    </row>
    <row r="51" spans="1:18" x14ac:dyDescent="0.25">
      <c r="A51" t="s">
        <v>73</v>
      </c>
      <c r="B51" s="19">
        <f t="shared" ref="B51:F51" si="8">+B32*B25</f>
        <v>160</v>
      </c>
      <c r="C51" s="19">
        <f t="shared" si="8"/>
        <v>175</v>
      </c>
      <c r="D51" s="19">
        <f t="shared" si="8"/>
        <v>100</v>
      </c>
      <c r="E51" s="19">
        <f t="shared" si="8"/>
        <v>60</v>
      </c>
      <c r="F51" s="19">
        <f t="shared" si="8"/>
        <v>4</v>
      </c>
      <c r="G51" s="19">
        <f>+G32*G25</f>
        <v>50</v>
      </c>
      <c r="H51" s="19">
        <f>+H32*H25</f>
        <v>1.7999999999999998</v>
      </c>
      <c r="I51" s="19">
        <f t="shared" ref="I51:K51" si="9">+I32*I25</f>
        <v>4</v>
      </c>
      <c r="J51" s="19">
        <f t="shared" si="9"/>
        <v>5</v>
      </c>
      <c r="K51" s="19">
        <f t="shared" si="9"/>
        <v>6</v>
      </c>
      <c r="L51" s="19">
        <f t="shared" ref="L51:M51" si="10">+L32*L25</f>
        <v>5</v>
      </c>
      <c r="M51" s="19">
        <f t="shared" si="10"/>
        <v>4</v>
      </c>
      <c r="N51" s="32">
        <f t="shared" ref="N51:R51" si="11">+N32*N25</f>
        <v>0.5</v>
      </c>
      <c r="O51" s="32">
        <f t="shared" si="11"/>
        <v>0.2</v>
      </c>
      <c r="P51" s="32">
        <f t="shared" si="11"/>
        <v>0.25</v>
      </c>
      <c r="Q51" s="32">
        <f t="shared" si="11"/>
        <v>0.36</v>
      </c>
      <c r="R51" s="32">
        <f t="shared" si="11"/>
        <v>1</v>
      </c>
    </row>
    <row r="52" spans="1:18" x14ac:dyDescent="0.25">
      <c r="H52" t="s">
        <v>85</v>
      </c>
    </row>
    <row r="53" spans="1:18" x14ac:dyDescent="0.25">
      <c r="A53" t="s">
        <v>124</v>
      </c>
      <c r="B53">
        <f>+B25*(1+B28)*1.1</f>
        <v>484.00000000000011</v>
      </c>
      <c r="C53">
        <f t="shared" ref="C53:R53" si="12">+C25*(1+C28)*1.1</f>
        <v>302.5</v>
      </c>
      <c r="D53">
        <f t="shared" si="12"/>
        <v>235.4</v>
      </c>
      <c r="E53">
        <f t="shared" si="12"/>
        <v>339.90000000000003</v>
      </c>
      <c r="F53">
        <f t="shared" si="12"/>
        <v>10.56</v>
      </c>
      <c r="G53">
        <f t="shared" si="12"/>
        <v>605</v>
      </c>
      <c r="H53">
        <f t="shared" si="12"/>
        <v>7.2600000000000016</v>
      </c>
      <c r="I53">
        <f t="shared" si="12"/>
        <v>12.100000000000001</v>
      </c>
      <c r="J53">
        <f t="shared" si="12"/>
        <v>12.100000000000001</v>
      </c>
      <c r="K53">
        <f t="shared" si="12"/>
        <v>12.100000000000001</v>
      </c>
      <c r="L53">
        <f t="shared" si="12"/>
        <v>12.100000000000001</v>
      </c>
      <c r="M53">
        <f t="shared" si="12"/>
        <v>12.100000000000001</v>
      </c>
      <c r="N53">
        <f t="shared" si="12"/>
        <v>13.200000000000001</v>
      </c>
      <c r="O53">
        <f t="shared" si="12"/>
        <v>6.6000000000000005</v>
      </c>
      <c r="P53">
        <f t="shared" si="12"/>
        <v>7.15</v>
      </c>
      <c r="Q53">
        <f t="shared" si="12"/>
        <v>8.5800000000000018</v>
      </c>
      <c r="R53">
        <f t="shared" si="12"/>
        <v>71.5</v>
      </c>
    </row>
  </sheetData>
  <conditionalFormatting sqref="O9 O7">
    <cfRule type="duplicateValues" dxfId="16" priority="41"/>
  </conditionalFormatting>
  <conditionalFormatting sqref="R9 R7">
    <cfRule type="duplicateValues" dxfId="15" priority="43"/>
  </conditionalFormatting>
  <conditionalFormatting sqref="F9 F7">
    <cfRule type="duplicateValues" dxfId="14" priority="45"/>
  </conditionalFormatting>
  <conditionalFormatting sqref="H9 H7 M9:N9 M7:N7 B9:C9 B7:C7 E9 E7">
    <cfRule type="duplicateValues" dxfId="13" priority="47"/>
  </conditionalFormatting>
  <conditionalFormatting sqref="L7">
    <cfRule type="duplicateValues" dxfId="12" priority="55"/>
  </conditionalFormatting>
  <conditionalFormatting sqref="D9 D7">
    <cfRule type="duplicateValues" dxfId="11" priority="57"/>
  </conditionalFormatting>
  <conditionalFormatting sqref="C9 C7">
    <cfRule type="duplicateValues" dxfId="10" priority="59"/>
  </conditionalFormatting>
  <conditionalFormatting sqref="G9 G7">
    <cfRule type="duplicateValues" dxfId="9" priority="61"/>
  </conditionalFormatting>
  <conditionalFormatting sqref="P9 P7">
    <cfRule type="duplicateValues" dxfId="8" priority="63"/>
  </conditionalFormatting>
  <conditionalFormatting sqref="Q9 Q7">
    <cfRule type="duplicateValues" dxfId="7" priority="65"/>
  </conditionalFormatting>
  <conditionalFormatting sqref="I9 I7">
    <cfRule type="duplicateValues" dxfId="6" priority="67"/>
  </conditionalFormatting>
  <conditionalFormatting sqref="M9:O9 M7:O7 E9:F9 E7:F7 H9 H7 B9:C9 B7:C7 R9 R7">
    <cfRule type="duplicateValues" dxfId="5" priority="69"/>
  </conditionalFormatting>
  <conditionalFormatting sqref="J7">
    <cfRule type="duplicateValues" dxfId="4" priority="79"/>
  </conditionalFormatting>
  <conditionalFormatting sqref="K7">
    <cfRule type="duplicateValues" dxfId="3" priority="81"/>
  </conditionalFormatting>
  <conditionalFormatting sqref="J9">
    <cfRule type="duplicateValues" dxfId="2" priority="3"/>
  </conditionalFormatting>
  <conditionalFormatting sqref="K9">
    <cfRule type="duplicateValues" dxfId="1" priority="2"/>
  </conditionalFormatting>
  <conditionalFormatting sqref="L9">
    <cfRule type="duplicateValues" dxfId="0" priority="1"/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DCFE51-E5A0-46C0-BA78-677466E1BE10}">
          <x14:formula1>
            <xm:f>Tables!$A$31:$A$34</xm:f>
          </x14:formula1>
          <xm:sqref>B5:R5</xm:sqref>
        </x14:dataValidation>
        <x14:dataValidation type="list" allowBlank="1" showInputMessage="1" showErrorMessage="1" xr:uid="{B3D47E63-4CCF-498A-86C2-6290C49D352E}">
          <x14:formula1>
            <xm:f>Tables!$A$4:$A$25</xm:f>
          </x14:formula1>
          <xm:sqref>B7:R7 B10:R11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AD23-665C-45A0-A2F6-8BFEBBDF1CAA}">
  <sheetPr codeName="Hoja2"/>
  <dimension ref="A4:C34"/>
  <sheetViews>
    <sheetView workbookViewId="0">
      <selection activeCell="A23" sqref="A23"/>
    </sheetView>
  </sheetViews>
  <sheetFormatPr baseColWidth="10" defaultRowHeight="15" x14ac:dyDescent="0.25"/>
  <cols>
    <col min="1" max="1" width="23.28515625" customWidth="1"/>
    <col min="2" max="2" width="12" customWidth="1"/>
  </cols>
  <sheetData>
    <row r="4" spans="1:3" x14ac:dyDescent="0.25">
      <c r="A4" t="s">
        <v>4</v>
      </c>
      <c r="B4" t="s">
        <v>5</v>
      </c>
    </row>
    <row r="5" spans="1:3" x14ac:dyDescent="0.25">
      <c r="A5" t="s">
        <v>10</v>
      </c>
      <c r="B5">
        <v>0</v>
      </c>
      <c r="C5" t="s">
        <v>2</v>
      </c>
    </row>
    <row r="6" spans="1:3" x14ac:dyDescent="0.25">
      <c r="A6" t="s">
        <v>11</v>
      </c>
      <c r="B6">
        <v>1</v>
      </c>
    </row>
    <row r="7" spans="1:3" x14ac:dyDescent="0.25">
      <c r="A7" t="s">
        <v>40</v>
      </c>
      <c r="B7">
        <v>2</v>
      </c>
    </row>
    <row r="8" spans="1:3" x14ac:dyDescent="0.25">
      <c r="A8" t="s">
        <v>46</v>
      </c>
      <c r="B8">
        <v>3</v>
      </c>
    </row>
    <row r="9" spans="1:3" x14ac:dyDescent="0.25">
      <c r="A9" t="s">
        <v>12</v>
      </c>
      <c r="B9">
        <v>4</v>
      </c>
    </row>
    <row r="10" spans="1:3" x14ac:dyDescent="0.25">
      <c r="A10" t="s">
        <v>13</v>
      </c>
      <c r="B10">
        <v>5</v>
      </c>
    </row>
    <row r="11" spans="1:3" x14ac:dyDescent="0.25">
      <c r="A11" t="s">
        <v>14</v>
      </c>
      <c r="B11">
        <v>6</v>
      </c>
    </row>
    <row r="12" spans="1:3" x14ac:dyDescent="0.25">
      <c r="A12" t="s">
        <v>15</v>
      </c>
      <c r="B12">
        <v>7</v>
      </c>
    </row>
    <row r="13" spans="1:3" x14ac:dyDescent="0.25">
      <c r="A13" t="s">
        <v>3</v>
      </c>
      <c r="B13">
        <v>8</v>
      </c>
    </row>
    <row r="14" spans="1:3" x14ac:dyDescent="0.25">
      <c r="A14" t="s">
        <v>35</v>
      </c>
      <c r="B14">
        <v>9</v>
      </c>
    </row>
    <row r="15" spans="1:3" x14ac:dyDescent="0.25">
      <c r="A15" t="s">
        <v>44</v>
      </c>
      <c r="B15">
        <v>10</v>
      </c>
    </row>
    <row r="16" spans="1:3" x14ac:dyDescent="0.25">
      <c r="A16" t="s">
        <v>89</v>
      </c>
      <c r="B16">
        <v>11</v>
      </c>
    </row>
    <row r="17" spans="1:2" x14ac:dyDescent="0.25">
      <c r="A17" t="s">
        <v>70</v>
      </c>
      <c r="B17">
        <v>12</v>
      </c>
    </row>
    <row r="18" spans="1:2" x14ac:dyDescent="0.25">
      <c r="A18" t="s">
        <v>79</v>
      </c>
      <c r="B18">
        <v>13</v>
      </c>
    </row>
    <row r="19" spans="1:2" x14ac:dyDescent="0.25">
      <c r="A19" t="s">
        <v>83</v>
      </c>
      <c r="B19">
        <v>14</v>
      </c>
    </row>
    <row r="20" spans="1:2" x14ac:dyDescent="0.25">
      <c r="A20" t="s">
        <v>94</v>
      </c>
      <c r="B20">
        <v>15</v>
      </c>
    </row>
    <row r="21" spans="1:2" x14ac:dyDescent="0.25">
      <c r="A21" t="s">
        <v>97</v>
      </c>
      <c r="B21">
        <v>16</v>
      </c>
    </row>
    <row r="22" spans="1:2" x14ac:dyDescent="0.25">
      <c r="A22" t="s">
        <v>98</v>
      </c>
      <c r="B22">
        <v>17</v>
      </c>
    </row>
    <row r="23" spans="1:2" x14ac:dyDescent="0.25">
      <c r="A23" t="s">
        <v>96</v>
      </c>
    </row>
    <row r="24" spans="1:2" x14ac:dyDescent="0.25">
      <c r="A24" t="s">
        <v>96</v>
      </c>
    </row>
    <row r="25" spans="1:2" x14ac:dyDescent="0.25">
      <c r="A25" s="6" t="s">
        <v>95</v>
      </c>
      <c r="B25">
        <v>99</v>
      </c>
    </row>
    <row r="31" spans="1:2" x14ac:dyDescent="0.25">
      <c r="A31" t="s">
        <v>7</v>
      </c>
      <c r="B31" t="s">
        <v>5</v>
      </c>
    </row>
    <row r="32" spans="1:2" x14ac:dyDescent="0.25">
      <c r="A32" t="s">
        <v>8</v>
      </c>
      <c r="B32">
        <v>0</v>
      </c>
    </row>
    <row r="33" spans="1:2" x14ac:dyDescent="0.25">
      <c r="A33" t="s">
        <v>9</v>
      </c>
      <c r="B33">
        <v>1</v>
      </c>
    </row>
    <row r="34" spans="1:2" x14ac:dyDescent="0.25">
      <c r="A34" t="s">
        <v>6</v>
      </c>
      <c r="B34">
        <v>2</v>
      </c>
    </row>
  </sheetData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08F63-CD92-41DE-B855-9BA4093DE986}">
  <sheetPr codeName="Hoja3"/>
  <dimension ref="A1:G18"/>
  <sheetViews>
    <sheetView workbookViewId="0">
      <selection activeCell="F11" sqref="F11"/>
    </sheetView>
  </sheetViews>
  <sheetFormatPr baseColWidth="10" defaultRowHeight="15" x14ac:dyDescent="0.25"/>
  <sheetData>
    <row r="1" spans="1:7" x14ac:dyDescent="0.25">
      <c r="B1" t="s">
        <v>63</v>
      </c>
      <c r="C1" t="s">
        <v>64</v>
      </c>
      <c r="E1" t="s">
        <v>63</v>
      </c>
      <c r="F1" t="s">
        <v>65</v>
      </c>
    </row>
    <row r="2" spans="1:7" x14ac:dyDescent="0.25">
      <c r="A2" t="s">
        <v>58</v>
      </c>
      <c r="B2">
        <v>0</v>
      </c>
      <c r="C2">
        <v>2</v>
      </c>
      <c r="E2">
        <v>0.2</v>
      </c>
      <c r="F2">
        <v>0</v>
      </c>
    </row>
    <row r="3" spans="1:7" x14ac:dyDescent="0.25">
      <c r="A3" t="s">
        <v>59</v>
      </c>
      <c r="B3">
        <v>1.5</v>
      </c>
      <c r="C3">
        <v>3</v>
      </c>
      <c r="E3">
        <v>0.3</v>
      </c>
      <c r="F3">
        <v>1</v>
      </c>
    </row>
    <row r="4" spans="1:7" x14ac:dyDescent="0.25">
      <c r="A4" t="s">
        <v>60</v>
      </c>
      <c r="B4">
        <v>2.5</v>
      </c>
      <c r="C4">
        <v>0</v>
      </c>
      <c r="E4">
        <v>0.4</v>
      </c>
      <c r="F4">
        <v>2</v>
      </c>
    </row>
    <row r="5" spans="1:7" x14ac:dyDescent="0.25">
      <c r="A5" t="s">
        <v>61</v>
      </c>
      <c r="B5">
        <v>9999999</v>
      </c>
      <c r="C5">
        <v>1</v>
      </c>
      <c r="E5">
        <v>9999999</v>
      </c>
      <c r="F5">
        <v>3</v>
      </c>
    </row>
    <row r="10" spans="1:7" s="5" customFormat="1" ht="60" x14ac:dyDescent="0.25">
      <c r="B10" s="5" t="s">
        <v>28</v>
      </c>
      <c r="C10" s="5" t="s">
        <v>50</v>
      </c>
      <c r="E10" s="12" t="s">
        <v>62</v>
      </c>
      <c r="F10" s="5" t="s">
        <v>56</v>
      </c>
      <c r="G10" s="5" t="s">
        <v>57</v>
      </c>
    </row>
    <row r="11" spans="1:7" x14ac:dyDescent="0.25">
      <c r="B11">
        <v>0.4</v>
      </c>
      <c r="C11" s="11">
        <v>0.2</v>
      </c>
      <c r="E11">
        <f>+(B11-C11)*10</f>
        <v>2</v>
      </c>
    </row>
    <row r="12" spans="1:7" x14ac:dyDescent="0.25">
      <c r="B12">
        <v>0.01</v>
      </c>
      <c r="C12" s="11">
        <v>0.01</v>
      </c>
      <c r="E12">
        <f t="shared" ref="E12:E18" si="0">+(B12-C12)*10</f>
        <v>0</v>
      </c>
    </row>
    <row r="13" spans="1:7" x14ac:dyDescent="0.25">
      <c r="B13">
        <v>0.05</v>
      </c>
      <c r="C13" s="11">
        <v>0.09</v>
      </c>
      <c r="E13">
        <f t="shared" si="0"/>
        <v>-0.39999999999999991</v>
      </c>
    </row>
    <row r="14" spans="1:7" x14ac:dyDescent="0.25">
      <c r="B14">
        <v>0.06</v>
      </c>
      <c r="C14" s="11">
        <v>0.8</v>
      </c>
      <c r="E14">
        <f t="shared" si="0"/>
        <v>-7.4</v>
      </c>
    </row>
    <row r="15" spans="1:7" x14ac:dyDescent="0.25">
      <c r="B15">
        <v>1</v>
      </c>
      <c r="C15" s="11">
        <v>0.1</v>
      </c>
      <c r="E15">
        <f t="shared" si="0"/>
        <v>9</v>
      </c>
    </row>
    <row r="16" spans="1:7" x14ac:dyDescent="0.25">
      <c r="B16">
        <v>0.04</v>
      </c>
      <c r="C16" s="11">
        <v>0.2</v>
      </c>
      <c r="E16">
        <f t="shared" si="0"/>
        <v>-1.6</v>
      </c>
    </row>
    <row r="17" spans="2:5" x14ac:dyDescent="0.25">
      <c r="B17">
        <v>0.04</v>
      </c>
      <c r="C17" s="11">
        <v>0.4</v>
      </c>
      <c r="E17">
        <f t="shared" si="0"/>
        <v>-3.6000000000000005</v>
      </c>
    </row>
    <row r="18" spans="2:5" x14ac:dyDescent="0.25">
      <c r="B18">
        <v>0.04</v>
      </c>
      <c r="C18" s="11">
        <v>0.4</v>
      </c>
      <c r="E18">
        <f t="shared" si="0"/>
        <v>-3.6000000000000005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genus</vt:lpstr>
      <vt:lpstr>Tables</vt:lpstr>
      <vt:lpstr>Sprite_image_simulator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Dalmau</dc:creator>
  <cp:lastModifiedBy>Ricard Dalmau</cp:lastModifiedBy>
  <cp:lastPrinted>2021-05-10T18:45:57Z</cp:lastPrinted>
  <dcterms:created xsi:type="dcterms:W3CDTF">2015-06-05T18:19:34Z</dcterms:created>
  <dcterms:modified xsi:type="dcterms:W3CDTF">2021-06-15T05:43:01Z</dcterms:modified>
</cp:coreProperties>
</file>